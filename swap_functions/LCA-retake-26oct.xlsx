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avelezxerenity/Documents/GitHub/pysdk/swap_functions/"/>
    </mc:Choice>
  </mc:AlternateContent>
  <xr:revisionPtr revIDLastSave="0" documentId="8_{8FF20DB0-D616-A64D-BCDC-63C3DD468EFA}" xr6:coauthVersionLast="47" xr6:coauthVersionMax="47" xr10:uidLastSave="{00000000-0000-0000-0000-000000000000}"/>
  <bookViews>
    <workbookView xWindow="0" yWindow="500" windowWidth="31180" windowHeight="26580" xr2:uid="{49965DA6-3C2B-4649-B96B-919B40FF40B7}"/>
  </bookViews>
  <sheets>
    <sheet name="Portfolio" sheetId="1" r:id="rId1"/>
    <sheet name="Ventas" sheetId="15" r:id="rId2"/>
    <sheet name="Sheet1" sheetId="14" r:id="rId3"/>
    <sheet name="Country" sheetId="6" r:id="rId4"/>
    <sheet name="Industry" sheetId="7" r:id="rId5"/>
    <sheet name="CCY" sheetId="8" r:id="rId6"/>
    <sheet name="Broker" sheetId="9" r:id="rId7"/>
    <sheet name="TYPE" sheetId="13" r:id="rId8"/>
    <sheet name="PE-EQUITY" sheetId="12" r:id="rId9"/>
    <sheet name="Fees" sheetId="11" r:id="rId10"/>
    <sheet name="Sheet10" sheetId="10" r:id="rId11"/>
  </sheets>
  <definedNames>
    <definedName name="_xlnm._FilterDatabase" localSheetId="0" hidden="1">Portfolio!$A$2:$T$28</definedName>
    <definedName name="_xlnm._FilterDatabase" localSheetId="1" hidden="1">Ventas!$A$2:$T$54</definedName>
    <definedName name="COP" localSheetId="1">Ventas!$E$1</definedName>
    <definedName name="COP">Portfolio!$E$1</definedName>
  </definedNames>
  <calcPr calcId="191028"/>
  <pivotCaches>
    <pivotCache cacheId="0" r:id="rId12"/>
    <pivotCache cacheId="1"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1" l="1"/>
  <c r="N30" i="1"/>
  <c r="E39" i="1"/>
  <c r="E38" i="1"/>
  <c r="E37" i="1"/>
  <c r="F37" i="1"/>
  <c r="F38" i="1" s="1"/>
  <c r="F39" i="1" s="1"/>
  <c r="F31" i="1"/>
  <c r="G42" i="1"/>
  <c r="G40" i="1"/>
  <c r="G36" i="1"/>
  <c r="F28" i="1"/>
  <c r="E68" i="15"/>
  <c r="G68" i="15" s="1"/>
  <c r="O67" i="15"/>
  <c r="F67" i="15"/>
  <c r="F66" i="15"/>
  <c r="O65" i="15"/>
  <c r="E65" i="15"/>
  <c r="O64" i="15"/>
  <c r="E64" i="15"/>
  <c r="O63" i="15"/>
  <c r="E63" i="15"/>
  <c r="O62" i="15"/>
  <c r="E62" i="15"/>
  <c r="O61" i="15"/>
  <c r="E61" i="15"/>
  <c r="G60" i="15"/>
  <c r="T60" i="15" s="1"/>
  <c r="G59" i="15"/>
  <c r="T59" i="15" s="1"/>
  <c r="G58" i="15"/>
  <c r="G57" i="15"/>
  <c r="T57" i="15" s="1"/>
  <c r="G56" i="15"/>
  <c r="T56" i="15" s="1"/>
  <c r="G55" i="15"/>
  <c r="T55" i="15" s="1"/>
  <c r="G53" i="15"/>
  <c r="G51" i="15"/>
  <c r="G47" i="15"/>
  <c r="U3" i="6"/>
  <c r="V3" i="6" s="1"/>
  <c r="F30" i="1"/>
  <c r="F29" i="1"/>
  <c r="O30" i="1"/>
  <c r="O46" i="15"/>
  <c r="O45" i="15"/>
  <c r="O44" i="15"/>
  <c r="O43" i="15"/>
  <c r="O42" i="15"/>
  <c r="O41" i="15"/>
  <c r="O40" i="15"/>
  <c r="G38" i="15"/>
  <c r="K37" i="15"/>
  <c r="F37" i="15" a="1"/>
  <c r="F37" i="15" s="1"/>
  <c r="G37" i="15" s="1"/>
  <c r="O36" i="15" a="1"/>
  <c r="O36" i="15" s="1"/>
  <c r="K36" i="15"/>
  <c r="F36" i="15" a="1"/>
  <c r="F36" i="15" s="1"/>
  <c r="G36" i="15" s="1"/>
  <c r="O35" i="15" a="1"/>
  <c r="O35" i="15" s="1"/>
  <c r="K35" i="15"/>
  <c r="F35" i="15" a="1"/>
  <c r="F35" i="15" s="1"/>
  <c r="G35" i="15" s="1"/>
  <c r="K34" i="15"/>
  <c r="F34" i="15" a="1"/>
  <c r="F34" i="15" s="1"/>
  <c r="G34" i="15" s="1"/>
  <c r="O33" i="15" a="1"/>
  <c r="O33" i="15" s="1"/>
  <c r="K33" i="15"/>
  <c r="F33" i="15" a="1"/>
  <c r="F33" i="15" s="1"/>
  <c r="G33" i="15" s="1"/>
  <c r="O32" i="15" a="1"/>
  <c r="O32" i="15" s="1"/>
  <c r="K32" i="15"/>
  <c r="F32" i="15" a="1"/>
  <c r="F32" i="15" s="1"/>
  <c r="G32" i="15" s="1"/>
  <c r="O31" i="15" a="1"/>
  <c r="O31" i="15" s="1"/>
  <c r="K31" i="15"/>
  <c r="F31" i="15" a="1"/>
  <c r="F31" i="15" s="1"/>
  <c r="G31" i="15" s="1"/>
  <c r="K30" i="15"/>
  <c r="F30" i="15" a="1"/>
  <c r="F30" i="15" s="1"/>
  <c r="G30" i="15" s="1"/>
  <c r="O29" i="15" a="1"/>
  <c r="O29" i="15" s="1"/>
  <c r="K29" i="15"/>
  <c r="F29" i="15" a="1"/>
  <c r="F29" i="15" s="1"/>
  <c r="G29" i="15" s="1"/>
  <c r="O28" i="15" a="1"/>
  <c r="O28" i="15" s="1"/>
  <c r="K28" i="15"/>
  <c r="F28" i="15" a="1"/>
  <c r="F28" i="15" s="1"/>
  <c r="G28" i="15" s="1"/>
  <c r="K27" i="15"/>
  <c r="F27" i="15" a="1"/>
  <c r="F27" i="15" s="1"/>
  <c r="G27" i="15" s="1"/>
  <c r="G23" i="15"/>
  <c r="P22" i="15" a="1"/>
  <c r="P22" i="15" s="1"/>
  <c r="F22" i="15" a="1"/>
  <c r="F22" i="15" s="1"/>
  <c r="G22" i="15" s="1"/>
  <c r="P21" i="15" a="1"/>
  <c r="P21" i="15" s="1"/>
  <c r="F21" i="15" a="1"/>
  <c r="F21" i="15" s="1"/>
  <c r="G21" i="15" s="1"/>
  <c r="P20" i="15" a="1"/>
  <c r="P20" i="15" s="1"/>
  <c r="F20" i="15" a="1"/>
  <c r="F20" i="15" s="1"/>
  <c r="G20" i="15" s="1"/>
  <c r="P19" i="15" a="1"/>
  <c r="P19" i="15" s="1"/>
  <c r="F19" i="15" a="1"/>
  <c r="F19" i="15" s="1"/>
  <c r="G19" i="15" s="1"/>
  <c r="P18" i="15" a="1"/>
  <c r="P18" i="15" s="1"/>
  <c r="F18" i="15" a="1"/>
  <c r="F18" i="15" s="1"/>
  <c r="G18" i="15" s="1"/>
  <c r="P17" i="15" a="1"/>
  <c r="P17" i="15" s="1"/>
  <c r="O17" i="15"/>
  <c r="F17" i="15" a="1"/>
  <c r="F17" i="15" s="1"/>
  <c r="G17" i="15" s="1"/>
  <c r="O16" i="15"/>
  <c r="G16" i="15"/>
  <c r="O15" i="15"/>
  <c r="G15" i="15"/>
  <c r="P14" i="15" a="1"/>
  <c r="P14" i="15" s="1"/>
  <c r="O14" i="15"/>
  <c r="F14" i="15" a="1"/>
  <c r="F14" i="15" s="1"/>
  <c r="G14" i="15" s="1"/>
  <c r="P13" i="15" a="1"/>
  <c r="P13" i="15" s="1"/>
  <c r="O13" i="15"/>
  <c r="F13" i="15" a="1"/>
  <c r="F13" i="15" s="1"/>
  <c r="G13" i="15" s="1"/>
  <c r="P12" i="15" a="1"/>
  <c r="P12" i="15" s="1"/>
  <c r="O12" i="15"/>
  <c r="F12" i="15" a="1"/>
  <c r="F12" i="15" s="1"/>
  <c r="G12" i="15" s="1"/>
  <c r="G8" i="15"/>
  <c r="T8" i="15" s="1"/>
  <c r="G7" i="15"/>
  <c r="T7" i="15" s="1"/>
  <c r="G6" i="15"/>
  <c r="G5" i="15"/>
  <c r="T5" i="15" s="1"/>
  <c r="G4" i="15"/>
  <c r="T4" i="15" s="1"/>
  <c r="G3" i="15"/>
  <c r="T3" i="15" s="1"/>
  <c r="J1" i="15"/>
  <c r="E1" i="15" a="1"/>
  <c r="E1" i="15" s="1"/>
  <c r="J1" i="1"/>
  <c r="G46" i="15" l="1"/>
  <c r="G71" i="15"/>
  <c r="G70" i="15"/>
  <c r="G69" i="15"/>
  <c r="G63" i="15"/>
  <c r="G64" i="15"/>
  <c r="G65" i="15"/>
  <c r="G66" i="15"/>
  <c r="G67" i="15"/>
  <c r="G61" i="15"/>
  <c r="G62" i="15"/>
  <c r="G54" i="15"/>
  <c r="T22" i="15"/>
  <c r="G45" i="15"/>
  <c r="T19" i="15"/>
  <c r="T20" i="15"/>
  <c r="T17" i="15"/>
  <c r="T12" i="15"/>
  <c r="T21" i="15"/>
  <c r="T14" i="15"/>
  <c r="G44" i="15"/>
  <c r="G40" i="15"/>
  <c r="G43" i="15"/>
  <c r="G42" i="15"/>
  <c r="G41" i="15"/>
  <c r="T13" i="15"/>
  <c r="O9" i="1"/>
  <c r="O8" i="1"/>
  <c r="O7" i="1"/>
  <c r="O6" i="1"/>
  <c r="O5" i="1"/>
  <c r="O4" i="1"/>
  <c r="E1" i="1" a="1"/>
  <c r="E1" i="1" s="1"/>
  <c r="K27" i="1"/>
  <c r="K26" i="1"/>
  <c r="K25" i="1"/>
  <c r="K24" i="1"/>
  <c r="K23" i="1"/>
  <c r="K22" i="1"/>
  <c r="K21" i="1"/>
  <c r="K20" i="1"/>
  <c r="K19" i="1"/>
  <c r="K18" i="1"/>
  <c r="K17" i="1"/>
  <c r="P14" i="1" a="1"/>
  <c r="P14" i="1" s="1"/>
  <c r="P13" i="1" a="1"/>
  <c r="P13" i="1" s="1"/>
  <c r="P12" i="1" a="1"/>
  <c r="P12" i="1" s="1"/>
  <c r="P9" i="1" a="1"/>
  <c r="P9" i="1" s="1"/>
  <c r="O26" i="1" a="1"/>
  <c r="O26" i="1" s="1"/>
  <c r="O25" i="1" a="1"/>
  <c r="O25" i="1" s="1"/>
  <c r="O23" i="1" a="1"/>
  <c r="O23" i="1" s="1"/>
  <c r="O22" i="1" a="1"/>
  <c r="O22" i="1" s="1"/>
  <c r="O21" i="1" a="1"/>
  <c r="O21" i="1" s="1"/>
  <c r="O19" i="1" a="1"/>
  <c r="O19" i="1" s="1"/>
  <c r="O18" i="1" a="1"/>
  <c r="O18" i="1" s="1"/>
  <c r="P11" i="1" a="1"/>
  <c r="P11" i="1" s="1"/>
  <c r="P10" i="1" a="1"/>
  <c r="P10" i="1" s="1"/>
  <c r="P6" i="1" a="1"/>
  <c r="P6" i="1" s="1"/>
  <c r="P5" i="1" a="1"/>
  <c r="P5" i="1" s="1"/>
  <c r="P4" i="1" a="1"/>
  <c r="P4" i="1" s="1"/>
  <c r="F27" i="1" a="1"/>
  <c r="F27" i="1" s="1"/>
  <c r="G27" i="1" s="1"/>
  <c r="F26" i="1" a="1"/>
  <c r="F26" i="1" s="1"/>
  <c r="G26" i="1" s="1"/>
  <c r="F25" i="1" a="1"/>
  <c r="F25" i="1" s="1"/>
  <c r="G25" i="1" s="1"/>
  <c r="F24" i="1" a="1"/>
  <c r="F24" i="1" s="1"/>
  <c r="G24" i="1" s="1"/>
  <c r="F23" i="1" a="1"/>
  <c r="F23" i="1" s="1"/>
  <c r="G23" i="1" s="1"/>
  <c r="F22" i="1" a="1"/>
  <c r="F22" i="1" s="1"/>
  <c r="G22" i="1" s="1"/>
  <c r="F21" i="1" a="1"/>
  <c r="F21" i="1" s="1"/>
  <c r="G21" i="1" s="1"/>
  <c r="F20" i="1" a="1"/>
  <c r="F20" i="1" s="1"/>
  <c r="G20" i="1" s="1"/>
  <c r="F19" i="1" a="1"/>
  <c r="F19" i="1" s="1"/>
  <c r="G19" i="1" s="1"/>
  <c r="F18" i="1" a="1"/>
  <c r="F18" i="1" s="1"/>
  <c r="G18" i="1" s="1"/>
  <c r="F17" i="1" a="1"/>
  <c r="F17" i="1" s="1"/>
  <c r="G17" i="1" s="1"/>
  <c r="F14" i="1" a="1"/>
  <c r="F14" i="1" s="1"/>
  <c r="G14" i="1" s="1"/>
  <c r="F13" i="1" a="1"/>
  <c r="F13" i="1" s="1"/>
  <c r="G13" i="1" s="1"/>
  <c r="F12" i="1" a="1"/>
  <c r="F12" i="1" s="1"/>
  <c r="G12" i="1" s="1"/>
  <c r="G8" i="1"/>
  <c r="F9" i="1" a="1"/>
  <c r="F9" i="1" s="1"/>
  <c r="G9" i="1" s="1"/>
  <c r="F11" i="1" a="1"/>
  <c r="F11" i="1" s="1"/>
  <c r="G11" i="1" s="1"/>
  <c r="F10" i="1" a="1"/>
  <c r="F10" i="1" s="1"/>
  <c r="G10" i="1" s="1"/>
  <c r="G7" i="1"/>
  <c r="F6" i="1" a="1"/>
  <c r="F6" i="1" s="1"/>
  <c r="G6" i="1" s="1"/>
  <c r="F5" i="1" a="1"/>
  <c r="F5" i="1" s="1"/>
  <c r="G5" i="1" s="1"/>
  <c r="F4" i="1" a="1"/>
  <c r="F4" i="1" s="1"/>
  <c r="G4" i="1" s="1"/>
  <c r="G3" i="1"/>
  <c r="G32" i="1" l="1"/>
  <c r="G34" i="1"/>
  <c r="G31" i="1"/>
  <c r="G43" i="1"/>
  <c r="G35" i="1"/>
  <c r="G28" i="1"/>
  <c r="G33" i="1"/>
  <c r="G30" i="1"/>
  <c r="G29" i="1"/>
  <c r="T6" i="1"/>
  <c r="T11" i="1"/>
  <c r="T9" i="1"/>
  <c r="T12" i="1"/>
  <c r="T4" i="1"/>
  <c r="T13" i="1"/>
  <c r="T5" i="1"/>
  <c r="T14"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4">
    <bk>
      <extLst>
        <ext uri="{3e2802c4-a4d2-4d8b-9148-e3be6c30e623}">
          <xlrd:rvb i="1"/>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2"/>
        </ext>
      </extLst>
    </bk>
    <bk>
      <extLst>
        <ext uri="{3e2802c4-a4d2-4d8b-9148-e3be6c30e623}">
          <xlrd:rvb i="25"/>
        </ext>
      </extLst>
    </bk>
    <bk>
      <extLst>
        <ext uri="{3e2802c4-a4d2-4d8b-9148-e3be6c30e623}">
          <xlrd:rvb i="28"/>
        </ext>
      </extLst>
    </bk>
    <bk>
      <extLst>
        <ext uri="{3e2802c4-a4d2-4d8b-9148-e3be6c30e623}">
          <xlrd:rvb i="31"/>
        </ext>
      </extLst>
    </bk>
    <bk>
      <extLst>
        <ext uri="{3e2802c4-a4d2-4d8b-9148-e3be6c30e623}">
          <xlrd:rvb i="34"/>
        </ext>
      </extLst>
    </bk>
    <bk>
      <extLst>
        <ext uri="{3e2802c4-a4d2-4d8b-9148-e3be6c30e623}">
          <xlrd:rvb i="37"/>
        </ext>
      </extLst>
    </bk>
    <bk>
      <extLst>
        <ext uri="{3e2802c4-a4d2-4d8b-9148-e3be6c30e623}">
          <xlrd:rvb i="40"/>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futureMetadata>
  <cellMetadata count="1">
    <bk>
      <rc t="1" v="0"/>
    </bk>
  </cellMetadata>
  <valueMetadata count="2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valueMetadata>
</metadata>
</file>

<file path=xl/sharedStrings.xml><?xml version="1.0" encoding="utf-8"?>
<sst xmlns="http://schemas.openxmlformats.org/spreadsheetml/2006/main" count="1001" uniqueCount="135">
  <si>
    <t>CCY</t>
  </si>
  <si>
    <t>Legal entity</t>
  </si>
  <si>
    <t>Broker</t>
  </si>
  <si>
    <t>Name</t>
  </si>
  <si>
    <t>Nominal</t>
  </si>
  <si>
    <t>Price</t>
  </si>
  <si>
    <t>Market Value</t>
  </si>
  <si>
    <t>Maturity</t>
  </si>
  <si>
    <t>TYPE</t>
  </si>
  <si>
    <t>Exposition</t>
  </si>
  <si>
    <t>Exposition-SUB</t>
  </si>
  <si>
    <t>Country of exposure</t>
  </si>
  <si>
    <t>FUND-POSITION</t>
  </si>
  <si>
    <t>Yield</t>
  </si>
  <si>
    <t>PE</t>
  </si>
  <si>
    <t>Management Fee</t>
  </si>
  <si>
    <t>Sales Charge</t>
  </si>
  <si>
    <t>Exit Fee</t>
  </si>
  <si>
    <t>Ferformance Fee</t>
  </si>
  <si>
    <t>Annual Fee</t>
  </si>
  <si>
    <t>USD</t>
  </si>
  <si>
    <t>UF Ventures</t>
  </si>
  <si>
    <t>Corredores</t>
  </si>
  <si>
    <t>Banco de Bogota 6.26% 05/12/26</t>
  </si>
  <si>
    <t>FI</t>
  </si>
  <si>
    <t>Banco De Bogota</t>
  </si>
  <si>
    <t>Colombia</t>
  </si>
  <si>
    <t>Position</t>
  </si>
  <si>
    <t>Lucas Cardona- US</t>
  </si>
  <si>
    <t>Merrill</t>
  </si>
  <si>
    <t>High Yield Corporate</t>
  </si>
  <si>
    <t>FI-High Yield Corporate</t>
  </si>
  <si>
    <t>USA</t>
  </si>
  <si>
    <t>Investment Grade</t>
  </si>
  <si>
    <t>FI-Investment Grade Corporate</t>
  </si>
  <si>
    <t>Muni</t>
  </si>
  <si>
    <t xml:space="preserve">Fi-Muni </t>
  </si>
  <si>
    <t>Ishares National Muni - MUB</t>
  </si>
  <si>
    <t>Fi-Muni High Yield</t>
  </si>
  <si>
    <t>Govt</t>
  </si>
  <si>
    <t>Fi-UST GOVT</t>
  </si>
  <si>
    <t>Equity</t>
  </si>
  <si>
    <t>Growth</t>
  </si>
  <si>
    <t>Equity-Growth SPX</t>
  </si>
  <si>
    <t>Equity-Value SPX</t>
  </si>
  <si>
    <t>Emarging Markets</t>
  </si>
  <si>
    <t>Equity- Emerging Markets Indexed</t>
  </si>
  <si>
    <t>EM</t>
  </si>
  <si>
    <t>DM Indexed</t>
  </si>
  <si>
    <t>Equity-Developed Markets Indexed</t>
  </si>
  <si>
    <t>DM</t>
  </si>
  <si>
    <t>Ameritrade</t>
  </si>
  <si>
    <t>Cash</t>
  </si>
  <si>
    <t>Deposit Program</t>
  </si>
  <si>
    <t>Technology</t>
  </si>
  <si>
    <t>Airspace</t>
  </si>
  <si>
    <t>COP</t>
  </si>
  <si>
    <t>Luca Financial SaS</t>
  </si>
  <si>
    <t>Fondo De inversion Colectiva Inmobiliario de Renta Davivienda</t>
  </si>
  <si>
    <t>Real State</t>
  </si>
  <si>
    <t>FUND</t>
  </si>
  <si>
    <t>Lucas Cardona Arboleda- Colombia</t>
  </si>
  <si>
    <t>CDT-BANCOL-IPC</t>
  </si>
  <si>
    <t>BANCOLOMBIA</t>
  </si>
  <si>
    <t>BACOLOMBIA</t>
  </si>
  <si>
    <t>Fondo de inversion colectiva Interes Participacion A</t>
  </si>
  <si>
    <t>Fondo de inversion colectiva Acciones America Participacion A</t>
  </si>
  <si>
    <t>PXG002885</t>
  </si>
  <si>
    <t>Banco Davivienda Pert</t>
  </si>
  <si>
    <t>DAVIVIENDA</t>
  </si>
  <si>
    <t>Cardonas LLC</t>
  </si>
  <si>
    <t>US T BILL</t>
  </si>
  <si>
    <t>FIYO SAS</t>
  </si>
  <si>
    <t>Mineros</t>
  </si>
  <si>
    <t>NEUBERGER BERMAN 5G Conectivity</t>
  </si>
  <si>
    <t>70% Information Technology</t>
  </si>
  <si>
    <t>JPM Greater China</t>
  </si>
  <si>
    <t>28% Tecnologia</t>
  </si>
  <si>
    <t>China</t>
  </si>
  <si>
    <t>Pictet Asian Equities Ex Japan</t>
  </si>
  <si>
    <t>Financial</t>
  </si>
  <si>
    <t>28.82% Financials - 24% Info Tech</t>
  </si>
  <si>
    <t>BGF Global Multi ASSET INCOME</t>
  </si>
  <si>
    <t>Mutual</t>
  </si>
  <si>
    <t>Active</t>
  </si>
  <si>
    <t>BGFCONTINENTAL EUROPEAN FLEXIBLE</t>
  </si>
  <si>
    <t>Health</t>
  </si>
  <si>
    <t xml:space="preserve">25% Salud </t>
  </si>
  <si>
    <t>Europe</t>
  </si>
  <si>
    <t>PICTET TOTAL RETURN ATLAS</t>
  </si>
  <si>
    <t>OTHER</t>
  </si>
  <si>
    <t>Private Loan</t>
  </si>
  <si>
    <t>High Yield</t>
  </si>
  <si>
    <t>Bradesco</t>
  </si>
  <si>
    <t>House Mortage</t>
  </si>
  <si>
    <t>Fi</t>
  </si>
  <si>
    <t>Lucas Financial SaS</t>
  </si>
  <si>
    <t>CDT BBVA Colombia</t>
  </si>
  <si>
    <t>BBVA</t>
  </si>
  <si>
    <t>CDT FALABELLA</t>
  </si>
  <si>
    <t>FALABELLA</t>
  </si>
  <si>
    <t>Luca Financias</t>
  </si>
  <si>
    <t>Fixed Income</t>
  </si>
  <si>
    <t>DAVIVIENDA PERP</t>
  </si>
  <si>
    <t>Row Labels</t>
  </si>
  <si>
    <t>Sum of Market Value</t>
  </si>
  <si>
    <t>Grand Total</t>
  </si>
  <si>
    <t>(All)</t>
  </si>
  <si>
    <t>Sum of PE</t>
  </si>
  <si>
    <t>US ENERGY INITIATIVES CORPORATION INC. (OTCM:USEI)</t>
  </si>
  <si>
    <t>NIKOLA CORPORATION (XNAS:NKLA)</t>
  </si>
  <si>
    <t>DOCUSIGN, INC. (XNAS:DOCU)</t>
  </si>
  <si>
    <t>TWILIO INC. (XNYS:TWLO)</t>
  </si>
  <si>
    <t>Vanguard Rus 2000 Id;ETF (XNAS:VTWO)</t>
  </si>
  <si>
    <t>88 ENERGY LIMITED (OTCM:EEENF)</t>
  </si>
  <si>
    <t>Vanguard EM St I;ETF (ARCX:VWO)</t>
  </si>
  <si>
    <t>THE BOEING COMPANY (XNYS:BA)</t>
  </si>
  <si>
    <t>Vanguard Dev Mkt;ETF (ARCX:VEA)</t>
  </si>
  <si>
    <t>iShares:Core S&amp;P US Gr (XNAS:IUSG)</t>
  </si>
  <si>
    <t>GRAYSCALE BITCOIN TRUST (BTC) (OTCM:GBTC)</t>
  </si>
  <si>
    <t>iShares:Core S&amp;P US Val (XNAS:IUSV)</t>
  </si>
  <si>
    <t>NETFLIX, INC. (XNAS:NFLX)</t>
  </si>
  <si>
    <t>MICROSOFT CORPORATION (XNAS:MSFT)</t>
  </si>
  <si>
    <t>TESLA, INC. (XNAS:TSLA)</t>
  </si>
  <si>
    <t>AMAZON.COM, INC. (XNAS:AMZN)</t>
  </si>
  <si>
    <t>(Multiple Items)</t>
  </si>
  <si>
    <t>Average of Sales Charge</t>
  </si>
  <si>
    <t>Average of Exit Fee</t>
  </si>
  <si>
    <t>Average of Management Fee</t>
  </si>
  <si>
    <t>Sum of Annual Fee</t>
  </si>
  <si>
    <t>iShares:Brd USD HY Cp Bd (BATS:USHY)</t>
  </si>
  <si>
    <t>iShares:Brd USD IG Cp Bd (XNAS:USIG)</t>
  </si>
  <si>
    <t>iShares:ST Nat Muni Bond (ARCX:SUB)</t>
  </si>
  <si>
    <t>iShares:US Treasury Bond (BATS:GOVT)</t>
  </si>
  <si>
    <t xml:space="preserve">Averiguar el costo del pago d ela deuda.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</si>
</sst>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_);_(* \(#,##0.0\);_(* &quot;-&quot;??_);_(@_)"/>
    <numFmt numFmtId="165" formatCode="_(* #,##0_);_(* \(#,##0\);_(* &quot;-&quot;??_);_(@_)"/>
    <numFmt numFmtId="166" formatCode="_-[$$-240A]\ * #,##0_-;\-[$$-240A]\ * #,##0_-;_-[$$-240A]\ * &quot;-&quot;??_-;_-@_-"/>
    <numFmt numFmtId="167" formatCode="mm/dd/yy;@"/>
    <numFmt numFmtId="168" formatCode="_(* #,##0.000_);_(* \(#,##0.000\);_(* &quot;-&quot;??_);_(@_)"/>
    <numFmt numFmtId="169" formatCode="_(* #,##0.0000_);_(* \(#,##0.0000\);_(* &quot;-&quot;??_);_(@_)"/>
    <numFmt numFmtId="170" formatCode="0.000%"/>
  </numFmts>
  <fonts count="3" x14ac:knownFonts="1">
    <font>
      <sz val="11"/>
      <color theme="1"/>
      <name val="Calibri"/>
      <family val="2"/>
      <scheme val="minor"/>
    </font>
    <font>
      <sz val="11"/>
      <color theme="1"/>
      <name val="Calibri"/>
      <family val="2"/>
      <scheme val="minor"/>
    </font>
    <font>
      <sz val="11"/>
      <color theme="0"/>
      <name val="Calibri"/>
      <family val="2"/>
      <scheme val="minor"/>
    </font>
  </fonts>
  <fills count="7">
    <fill>
      <patternFill patternType="none"/>
    </fill>
    <fill>
      <patternFill patternType="gray125"/>
    </fill>
    <fill>
      <patternFill patternType="solid">
        <fgColor theme="1"/>
        <bgColor indexed="64"/>
      </patternFill>
    </fill>
    <fill>
      <patternFill patternType="solid">
        <fgColor theme="7" tint="0.59999389629810485"/>
        <bgColor indexed="64"/>
      </patternFill>
    </fill>
    <fill>
      <patternFill patternType="solid">
        <fgColor theme="2"/>
        <bgColor indexed="64"/>
      </patternFill>
    </fill>
    <fill>
      <patternFill patternType="solid">
        <fgColor theme="3" tint="0.79998168889431442"/>
        <bgColor indexed="64"/>
      </patternFill>
    </fill>
    <fill>
      <patternFill patternType="solid">
        <fgColor theme="4" tint="0.39997558519241921"/>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5">
    <xf numFmtId="0" fontId="0" fillId="0" borderId="0" xfId="0"/>
    <xf numFmtId="9" fontId="0" fillId="0" borderId="0" xfId="0" applyNumberFormat="1"/>
    <xf numFmtId="164" fontId="0" fillId="0" borderId="0" xfId="1" applyNumberFormat="1" applyFont="1"/>
    <xf numFmtId="165" fontId="0" fillId="0" borderId="0" xfId="1" applyNumberFormat="1" applyFont="1"/>
    <xf numFmtId="10" fontId="0" fillId="0" borderId="0" xfId="2" applyNumberFormat="1" applyFont="1"/>
    <xf numFmtId="0" fontId="0" fillId="0" borderId="0" xfId="0" quotePrefix="1"/>
    <xf numFmtId="165" fontId="0" fillId="0" borderId="0" xfId="0" applyNumberFormat="1"/>
    <xf numFmtId="10" fontId="0" fillId="0" borderId="0" xfId="0" applyNumberFormat="1"/>
    <xf numFmtId="43" fontId="0" fillId="0" borderId="0" xfId="0" applyNumberFormat="1"/>
    <xf numFmtId="0" fontId="2" fillId="2" borderId="0" xfId="0" applyFont="1" applyFill="1" applyAlignment="1">
      <alignment horizontal="center"/>
    </xf>
    <xf numFmtId="165" fontId="0" fillId="0" borderId="0" xfId="0" pivotButton="1" applyNumberFormat="1"/>
    <xf numFmtId="165" fontId="0" fillId="0" borderId="0" xfId="0" applyNumberFormat="1" applyAlignment="1">
      <alignment horizontal="left"/>
    </xf>
    <xf numFmtId="165" fontId="0" fillId="0" borderId="0" xfId="0" applyNumberFormat="1" applyAlignment="1">
      <alignment horizontal="left" indent="1"/>
    </xf>
    <xf numFmtId="166" fontId="0" fillId="0" borderId="1" xfId="0" applyNumberFormat="1" applyBorder="1"/>
    <xf numFmtId="167" fontId="0" fillId="0" borderId="0" xfId="1" applyNumberFormat="1" applyFont="1"/>
    <xf numFmtId="14" fontId="0" fillId="0" borderId="0" xfId="0" applyNumberFormat="1"/>
    <xf numFmtId="164" fontId="0" fillId="0" borderId="0" xfId="0" applyNumberFormat="1"/>
    <xf numFmtId="168" fontId="0" fillId="0" borderId="0" xfId="1" applyNumberFormat="1" applyFont="1"/>
    <xf numFmtId="0" fontId="0" fillId="3" borderId="0" xfId="0" applyFill="1"/>
    <xf numFmtId="0" fontId="0" fillId="4" borderId="0" xfId="0" applyFill="1"/>
    <xf numFmtId="10" fontId="0" fillId="4" borderId="0" xfId="2" applyNumberFormat="1" applyFont="1" applyFill="1"/>
    <xf numFmtId="0" fontId="0" fillId="5" borderId="0" xfId="0" applyFill="1"/>
    <xf numFmtId="0" fontId="0" fillId="5" borderId="0" xfId="0" quotePrefix="1" applyFill="1"/>
    <xf numFmtId="0" fontId="0" fillId="0" borderId="2" xfId="0" applyBorder="1"/>
    <xf numFmtId="0" fontId="0" fillId="0" borderId="3" xfId="0" applyBorder="1"/>
    <xf numFmtId="165" fontId="0" fillId="0" borderId="3" xfId="1" applyNumberFormat="1" applyFont="1" applyBorder="1"/>
    <xf numFmtId="165" fontId="0" fillId="0" borderId="3" xfId="0" applyNumberFormat="1" applyBorder="1"/>
    <xf numFmtId="167" fontId="0" fillId="0" borderId="3" xfId="1" applyNumberFormat="1" applyFont="1" applyBorder="1"/>
    <xf numFmtId="9" fontId="0" fillId="0" borderId="3" xfId="0" applyNumberFormat="1" applyBorder="1"/>
    <xf numFmtId="168" fontId="0" fillId="0" borderId="3" xfId="1" applyNumberFormat="1" applyFont="1" applyBorder="1"/>
    <xf numFmtId="0" fontId="0" fillId="0" borderId="4" xfId="0" applyBorder="1"/>
    <xf numFmtId="0" fontId="0" fillId="0" borderId="5" xfId="0" applyBorder="1"/>
    <xf numFmtId="165" fontId="0" fillId="0" borderId="5" xfId="1" applyNumberFormat="1" applyFont="1" applyBorder="1"/>
    <xf numFmtId="165" fontId="0" fillId="0" borderId="5" xfId="0" applyNumberFormat="1" applyBorder="1"/>
    <xf numFmtId="14" fontId="0" fillId="0" borderId="5" xfId="0" applyNumberFormat="1" applyBorder="1"/>
    <xf numFmtId="9" fontId="0" fillId="0" borderId="5" xfId="0" applyNumberFormat="1" applyBorder="1"/>
    <xf numFmtId="168" fontId="0" fillId="0" borderId="5" xfId="1" applyNumberFormat="1" applyFont="1" applyBorder="1"/>
    <xf numFmtId="169" fontId="0" fillId="0" borderId="0" xfId="1" applyNumberFormat="1" applyFont="1"/>
    <xf numFmtId="43" fontId="0" fillId="0" borderId="0" xfId="1" applyFont="1"/>
    <xf numFmtId="165" fontId="0" fillId="0" borderId="0" xfId="1" applyNumberFormat="1" applyFont="1" applyFill="1" applyBorder="1"/>
    <xf numFmtId="15" fontId="0" fillId="0" borderId="0" xfId="0" applyNumberFormat="1"/>
    <xf numFmtId="2" fontId="0" fillId="0" borderId="0" xfId="0" applyNumberFormat="1"/>
    <xf numFmtId="0" fontId="0" fillId="6" borderId="0" xfId="0" applyFill="1"/>
    <xf numFmtId="166" fontId="0" fillId="0" borderId="0" xfId="0" applyNumberFormat="1"/>
    <xf numFmtId="170" fontId="0" fillId="0" borderId="0" xfId="0" applyNumberFormat="1"/>
  </cellXfs>
  <cellStyles count="3">
    <cellStyle name="Comma" xfId="1" builtinId="3"/>
    <cellStyle name="Normal" xfId="0" builtinId="0"/>
    <cellStyle name="Per cent" xfId="2" builtinId="5"/>
  </cellStyles>
  <dxfs count="41">
    <dxf>
      <numFmt numFmtId="165" formatCode="_(* #,##0_);_(* \(#,##0\);_(* &quot;-&quot;??_);_(@_)"/>
    </dxf>
    <dxf>
      <numFmt numFmtId="164" formatCode="_(* #,##0.0_);_(* \(#,##0.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[LCA-retake-26oct.xlsx]Country!PivotTable18</c:name>
    <c:fmtId val="0"/>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1.8596034036670685E-2"/>
              <c:y val="7.5162680174894018E-3"/>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pivotFmt>
      <c:pivotFmt>
        <c:idx val="11"/>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6226931263376806"/>
          <c:y val="0.12094787691792698"/>
          <c:w val="0.51212788873069404"/>
          <c:h val="0.73886770218346132"/>
        </c:manualLayout>
      </c:layout>
      <c:pieChart>
        <c:varyColors val="1"/>
        <c:ser>
          <c:idx val="0"/>
          <c:order val="0"/>
          <c:tx>
            <c:strRef>
              <c:f>Country!$B$3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9-F866-495D-854C-8D5824C7CDB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A-F866-495D-854C-8D5824C7CDB4}"/>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B-F866-495D-854C-8D5824C7CDB4}"/>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C-F866-495D-854C-8D5824C7CDB4}"/>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D-F866-495D-854C-8D5824C7CDB4}"/>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5508-451C-8436-8BE6007691F6}"/>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8-F866-495D-854C-8D5824C7CDB4}"/>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5508-451C-8436-8BE6007691F6}"/>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5508-451C-8436-8BE6007691F6}"/>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26D5-4D44-85F3-4E8141954C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Country!$A$4:$A$15</c:f>
              <c:multiLvlStrCache>
                <c:ptCount val="7"/>
                <c:lvl>
                  <c:pt idx="0">
                    <c:v>Equity</c:v>
                  </c:pt>
                  <c:pt idx="1">
                    <c:v>FI</c:v>
                  </c:pt>
                  <c:pt idx="2">
                    <c:v>Equity</c:v>
                  </c:pt>
                  <c:pt idx="3">
                    <c:v>Equity</c:v>
                  </c:pt>
                  <c:pt idx="4">
                    <c:v>Cash</c:v>
                  </c:pt>
                  <c:pt idx="5">
                    <c:v>Equity</c:v>
                  </c:pt>
                  <c:pt idx="6">
                    <c:v>FI</c:v>
                  </c:pt>
                </c:lvl>
                <c:lvl>
                  <c:pt idx="0">
                    <c:v>Colombia</c:v>
                  </c:pt>
                  <c:pt idx="2">
                    <c:v>DM</c:v>
                  </c:pt>
                  <c:pt idx="3">
                    <c:v>EM</c:v>
                  </c:pt>
                  <c:pt idx="4">
                    <c:v>USA</c:v>
                  </c:pt>
                </c:lvl>
              </c:multiLvlStrCache>
            </c:multiLvlStrRef>
          </c:cat>
          <c:val>
            <c:numRef>
              <c:f>Country!$B$4:$B$15</c:f>
              <c:numCache>
                <c:formatCode>_(* #,##0_);_(* \(#,##0\);_(* "-"??_);_(@_)</c:formatCode>
                <c:ptCount val="7"/>
                <c:pt idx="0">
                  <c:v>43774.219986849515</c:v>
                </c:pt>
                <c:pt idx="1">
                  <c:v>413306.31438843138</c:v>
                </c:pt>
                <c:pt idx="2">
                  <c:v>2529.65</c:v>
                </c:pt>
                <c:pt idx="3">
                  <c:v>719.625</c:v>
                </c:pt>
                <c:pt idx="4">
                  <c:v>74210.92</c:v>
                </c:pt>
                <c:pt idx="5">
                  <c:v>43636.525099999999</c:v>
                </c:pt>
                <c:pt idx="6">
                  <c:v>496815.56689999998</c:v>
                </c:pt>
              </c:numCache>
            </c:numRef>
          </c:val>
          <c:extLst>
            <c:ext xmlns:c16="http://schemas.microsoft.com/office/drawing/2014/chart" uri="{C3380CC4-5D6E-409C-BE32-E72D297353CC}">
              <c16:uniqueId val="{00000000-F866-495D-854C-8D5824C7CDB4}"/>
            </c:ext>
          </c:extLst>
        </c:ser>
        <c:dLbls>
          <c:dLblPos val="outEnd"/>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[LCA-retake-26oct.xlsx]Industry!PivotTable18</c:name>
    <c:fmtId val="1"/>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1.8596034036670685E-2"/>
              <c:y val="7.5162680174894018E-3"/>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spPr>
          <a:gradFill>
            <a:gsLst>
              <a:gs pos="100000">
                <a:schemeClr val="accent2">
                  <a:lumMod val="60000"/>
                  <a:lumOff val="40000"/>
                </a:schemeClr>
              </a:gs>
              <a:gs pos="0">
                <a:schemeClr val="accent2"/>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6226931263376806"/>
          <c:y val="0.12094787691792698"/>
          <c:w val="0.51212788873069404"/>
          <c:h val="0.73886770218346132"/>
        </c:manualLayout>
      </c:layout>
      <c:pieChart>
        <c:varyColors val="1"/>
        <c:ser>
          <c:idx val="0"/>
          <c:order val="0"/>
          <c:tx>
            <c:strRef>
              <c:f>Industry!$B$3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732E-4DFB-9F1E-F731222C780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732E-4DFB-9F1E-F731222C7804}"/>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732E-4DFB-9F1E-F731222C7804}"/>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732E-4DFB-9F1E-F731222C7804}"/>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732E-4DFB-9F1E-F731222C7804}"/>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732E-4DFB-9F1E-F731222C7804}"/>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732E-4DFB-9F1E-F731222C7804}"/>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732E-4DFB-9F1E-F731222C7804}"/>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732E-4DFB-9F1E-F731222C7804}"/>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732E-4DFB-9F1E-F731222C78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Industry!$A$4:$A$12</c:f>
              <c:strCache>
                <c:ptCount val="8"/>
                <c:pt idx="0">
                  <c:v>Banco De Bogota</c:v>
                </c:pt>
                <c:pt idx="1">
                  <c:v>Govt</c:v>
                </c:pt>
                <c:pt idx="2">
                  <c:v>High Yield Corporate</c:v>
                </c:pt>
                <c:pt idx="3">
                  <c:v>Investment Grade</c:v>
                </c:pt>
                <c:pt idx="4">
                  <c:v>Muni</c:v>
                </c:pt>
                <c:pt idx="5">
                  <c:v>BANCOLOMBIA</c:v>
                </c:pt>
                <c:pt idx="6">
                  <c:v>Colombia</c:v>
                </c:pt>
                <c:pt idx="7">
                  <c:v>DAVIVIENDA</c:v>
                </c:pt>
              </c:strCache>
            </c:strRef>
          </c:cat>
          <c:val>
            <c:numRef>
              <c:f>Industry!$B$4:$B$12</c:f>
              <c:numCache>
                <c:formatCode>_(* #,##0_);_(* \(#,##0\);_(* "-"??_);_(@_)</c:formatCode>
                <c:ptCount val="8"/>
                <c:pt idx="0">
                  <c:v>135079.6</c:v>
                </c:pt>
                <c:pt idx="1">
                  <c:v>494177.58</c:v>
                </c:pt>
                <c:pt idx="2">
                  <c:v>102.16499999999999</c:v>
                </c:pt>
                <c:pt idx="3">
                  <c:v>236.09950000000001</c:v>
                </c:pt>
                <c:pt idx="4">
                  <c:v>2299.7224000000001</c:v>
                </c:pt>
                <c:pt idx="5">
                  <c:v>133676.56280304072</c:v>
                </c:pt>
                <c:pt idx="6">
                  <c:v>6550.1515853906603</c:v>
                </c:pt>
                <c:pt idx="7">
                  <c:v>138000</c:v>
                </c:pt>
              </c:numCache>
            </c:numRef>
          </c:val>
          <c:extLst>
            <c:ext xmlns:c16="http://schemas.microsoft.com/office/drawing/2014/chart" uri="{C3380CC4-5D6E-409C-BE32-E72D297353CC}">
              <c16:uniqueId val="{00000014-732E-4DFB-9F1E-F731222C7804}"/>
            </c:ext>
          </c:extLst>
        </c:ser>
        <c:dLbls>
          <c:dLblPos val="outEnd"/>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[LCA-retake-26oct.xlsx]CCY!PivotTable18</c:name>
    <c:fmtId val="2"/>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1.8596034036670685E-2"/>
              <c:y val="7.5162680174894018E-3"/>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spPr>
          <a:gradFill>
            <a:gsLst>
              <a:gs pos="100000">
                <a:schemeClr val="accent2">
                  <a:lumMod val="60000"/>
                  <a:lumOff val="40000"/>
                </a:schemeClr>
              </a:gs>
              <a:gs pos="0">
                <a:schemeClr val="accent2"/>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2"/>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6226931263376806"/>
          <c:y val="0.12094787691792698"/>
          <c:w val="0.51212788873069404"/>
          <c:h val="0.73886770218346132"/>
        </c:manualLayout>
      </c:layout>
      <c:pieChart>
        <c:varyColors val="1"/>
        <c:ser>
          <c:idx val="0"/>
          <c:order val="0"/>
          <c:tx>
            <c:strRef>
              <c:f>CCY!$B$3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11D5-400F-9E3B-780DF8909929}"/>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11D5-400F-9E3B-780DF8909929}"/>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11D5-400F-9E3B-780DF8909929}"/>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11D5-400F-9E3B-780DF8909929}"/>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11D5-400F-9E3B-780DF8909929}"/>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11D5-400F-9E3B-780DF8909929}"/>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11D5-400F-9E3B-780DF8909929}"/>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11D5-400F-9E3B-780DF8909929}"/>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11D5-400F-9E3B-780DF8909929}"/>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11D5-400F-9E3B-780DF8909929}"/>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19050">
                <a:solidFill>
                  <a:schemeClr val="lt1"/>
                </a:solidFill>
              </a:ln>
              <a:effectLst/>
            </c:spPr>
            <c:extLst>
              <c:ext xmlns:c16="http://schemas.microsoft.com/office/drawing/2014/chart" uri="{C3380CC4-5D6E-409C-BE32-E72D297353CC}">
                <c16:uniqueId val="{00000015-11D5-400F-9E3B-780DF8909929}"/>
              </c:ext>
            </c:extLst>
          </c:dPt>
          <c:dPt>
            <c:idx val="11"/>
            <c:bubble3D val="0"/>
            <c:spPr>
              <a:gradFill>
                <a:gsLst>
                  <a:gs pos="100000">
                    <a:schemeClr val="accent6">
                      <a:lumMod val="60000"/>
                      <a:lumMod val="60000"/>
                      <a:lumOff val="40000"/>
                    </a:schemeClr>
                  </a:gs>
                  <a:gs pos="0">
                    <a:schemeClr val="accent6">
                      <a:lumMod val="60000"/>
                    </a:schemeClr>
                  </a:gs>
                </a:gsLst>
                <a:lin ang="5400000" scaled="0"/>
              </a:gradFill>
              <a:ln w="19050">
                <a:solidFill>
                  <a:schemeClr val="lt1"/>
                </a:solidFill>
              </a:ln>
              <a:effectLst/>
            </c:spPr>
            <c:extLst>
              <c:ext xmlns:c16="http://schemas.microsoft.com/office/drawing/2014/chart" uri="{C3380CC4-5D6E-409C-BE32-E72D297353CC}">
                <c16:uniqueId val="{00000017-11D5-400F-9E3B-780DF8909929}"/>
              </c:ext>
            </c:extLst>
          </c:dPt>
          <c:dPt>
            <c:idx val="12"/>
            <c:bubble3D val="0"/>
            <c:spPr>
              <a:gradFill>
                <a:gsLst>
                  <a:gs pos="100000">
                    <a:schemeClr val="accent1">
                      <a:lumMod val="80000"/>
                      <a:lumOff val="20000"/>
                      <a:lumMod val="60000"/>
                      <a:lumOff val="40000"/>
                    </a:schemeClr>
                  </a:gs>
                  <a:gs pos="0">
                    <a:schemeClr val="accent1">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9-11D5-400F-9E3B-780DF8909929}"/>
              </c:ext>
            </c:extLst>
          </c:dPt>
          <c:dPt>
            <c:idx val="13"/>
            <c:bubble3D val="0"/>
            <c:spPr>
              <a:gradFill>
                <a:gsLst>
                  <a:gs pos="100000">
                    <a:schemeClr val="accent2">
                      <a:lumMod val="80000"/>
                      <a:lumOff val="20000"/>
                      <a:lumMod val="60000"/>
                      <a:lumOff val="40000"/>
                    </a:schemeClr>
                  </a:gs>
                  <a:gs pos="0">
                    <a:schemeClr val="accent2">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B-11D5-400F-9E3B-780DF8909929}"/>
              </c:ext>
            </c:extLst>
          </c:dPt>
          <c:dPt>
            <c:idx val="14"/>
            <c:bubble3D val="0"/>
            <c:spPr>
              <a:gradFill>
                <a:gsLst>
                  <a:gs pos="100000">
                    <a:schemeClr val="accent3">
                      <a:lumMod val="80000"/>
                      <a:lumOff val="20000"/>
                      <a:lumMod val="60000"/>
                      <a:lumOff val="40000"/>
                    </a:schemeClr>
                  </a:gs>
                  <a:gs pos="0">
                    <a:schemeClr val="accent3">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D-11D5-400F-9E3B-780DF8909929}"/>
              </c:ext>
            </c:extLst>
          </c:dPt>
          <c:dPt>
            <c:idx val="15"/>
            <c:bubble3D val="0"/>
            <c:spPr>
              <a:gradFill>
                <a:gsLst>
                  <a:gs pos="100000">
                    <a:schemeClr val="accent4">
                      <a:lumMod val="80000"/>
                      <a:lumOff val="20000"/>
                      <a:lumMod val="60000"/>
                      <a:lumOff val="40000"/>
                    </a:schemeClr>
                  </a:gs>
                  <a:gs pos="0">
                    <a:schemeClr val="accent4">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F-11D5-400F-9E3B-780DF89099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CCY!$A$4:$A$6</c:f>
              <c:strCache>
                <c:ptCount val="2"/>
                <c:pt idx="0">
                  <c:v>COP</c:v>
                </c:pt>
                <c:pt idx="1">
                  <c:v>USD</c:v>
                </c:pt>
              </c:strCache>
            </c:strRef>
          </c:cat>
          <c:val>
            <c:numRef>
              <c:f>CCY!$B$4:$B$6</c:f>
              <c:numCache>
                <c:formatCode>_(* #,##0_);_(* \(#,##0\);_(* "-"??_);_(@_)</c:formatCode>
                <c:ptCount val="2"/>
                <c:pt idx="0">
                  <c:v>184000.93437528092</c:v>
                </c:pt>
                <c:pt idx="1">
                  <c:v>890991.8870000001</c:v>
                </c:pt>
              </c:numCache>
            </c:numRef>
          </c:val>
          <c:extLst>
            <c:ext xmlns:c16="http://schemas.microsoft.com/office/drawing/2014/chart" uri="{C3380CC4-5D6E-409C-BE32-E72D297353CC}">
              <c16:uniqueId val="{00000020-11D5-400F-9E3B-780DF8909929}"/>
            </c:ext>
          </c:extLst>
        </c:ser>
        <c:dLbls>
          <c:dLblPos val="outEnd"/>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[LCA-retake-26oct.xlsx]Broker!PivotTable18</c:name>
    <c:fmtId val="3"/>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1.8596034036670685E-2"/>
              <c:y val="7.5162680174894018E-3"/>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spPr>
          <a:gradFill>
            <a:gsLst>
              <a:gs pos="100000">
                <a:schemeClr val="accent2">
                  <a:lumMod val="60000"/>
                  <a:lumOff val="40000"/>
                </a:schemeClr>
              </a:gs>
              <a:gs pos="0">
                <a:schemeClr val="accent2"/>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9"/>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6226931263376806"/>
          <c:y val="0.12094787691792698"/>
          <c:w val="0.51212788873069404"/>
          <c:h val="0.73886770218346132"/>
        </c:manualLayout>
      </c:layout>
      <c:pieChart>
        <c:varyColors val="1"/>
        <c:ser>
          <c:idx val="0"/>
          <c:order val="0"/>
          <c:tx>
            <c:strRef>
              <c:f>Broker!$B$3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999B-4701-AED7-5CA8A7A08482}"/>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999B-4701-AED7-5CA8A7A08482}"/>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999B-4701-AED7-5CA8A7A08482}"/>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999B-4701-AED7-5CA8A7A08482}"/>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999B-4701-AED7-5CA8A7A08482}"/>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999B-4701-AED7-5CA8A7A08482}"/>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999B-4701-AED7-5CA8A7A08482}"/>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999B-4701-AED7-5CA8A7A08482}"/>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999B-4701-AED7-5CA8A7A08482}"/>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999B-4701-AED7-5CA8A7A08482}"/>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19050">
                <a:solidFill>
                  <a:schemeClr val="lt1"/>
                </a:solidFill>
              </a:ln>
              <a:effectLst/>
            </c:spPr>
            <c:extLst>
              <c:ext xmlns:c16="http://schemas.microsoft.com/office/drawing/2014/chart" uri="{C3380CC4-5D6E-409C-BE32-E72D297353CC}">
                <c16:uniqueId val="{00000015-999B-4701-AED7-5CA8A7A08482}"/>
              </c:ext>
            </c:extLst>
          </c:dPt>
          <c:dPt>
            <c:idx val="11"/>
            <c:bubble3D val="0"/>
            <c:spPr>
              <a:gradFill>
                <a:gsLst>
                  <a:gs pos="100000">
                    <a:schemeClr val="accent6">
                      <a:lumMod val="60000"/>
                      <a:lumMod val="60000"/>
                      <a:lumOff val="40000"/>
                    </a:schemeClr>
                  </a:gs>
                  <a:gs pos="0">
                    <a:schemeClr val="accent6">
                      <a:lumMod val="60000"/>
                    </a:schemeClr>
                  </a:gs>
                </a:gsLst>
                <a:lin ang="5400000" scaled="0"/>
              </a:gradFill>
              <a:ln w="19050">
                <a:solidFill>
                  <a:schemeClr val="lt1"/>
                </a:solidFill>
              </a:ln>
              <a:effectLst/>
            </c:spPr>
            <c:extLst>
              <c:ext xmlns:c16="http://schemas.microsoft.com/office/drawing/2014/chart" uri="{C3380CC4-5D6E-409C-BE32-E72D297353CC}">
                <c16:uniqueId val="{00000017-999B-4701-AED7-5CA8A7A08482}"/>
              </c:ext>
            </c:extLst>
          </c:dPt>
          <c:dPt>
            <c:idx val="12"/>
            <c:bubble3D val="0"/>
            <c:spPr>
              <a:gradFill>
                <a:gsLst>
                  <a:gs pos="100000">
                    <a:schemeClr val="accent1">
                      <a:lumMod val="80000"/>
                      <a:lumOff val="20000"/>
                      <a:lumMod val="60000"/>
                      <a:lumOff val="40000"/>
                    </a:schemeClr>
                  </a:gs>
                  <a:gs pos="0">
                    <a:schemeClr val="accent1">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9-999B-4701-AED7-5CA8A7A08482}"/>
              </c:ext>
            </c:extLst>
          </c:dPt>
          <c:dPt>
            <c:idx val="13"/>
            <c:bubble3D val="0"/>
            <c:spPr>
              <a:gradFill>
                <a:gsLst>
                  <a:gs pos="100000">
                    <a:schemeClr val="accent2">
                      <a:lumMod val="80000"/>
                      <a:lumOff val="20000"/>
                      <a:lumMod val="60000"/>
                      <a:lumOff val="40000"/>
                    </a:schemeClr>
                  </a:gs>
                  <a:gs pos="0">
                    <a:schemeClr val="accent2">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B-999B-4701-AED7-5CA8A7A08482}"/>
              </c:ext>
            </c:extLst>
          </c:dPt>
          <c:dPt>
            <c:idx val="14"/>
            <c:bubble3D val="0"/>
            <c:spPr>
              <a:gradFill>
                <a:gsLst>
                  <a:gs pos="100000">
                    <a:schemeClr val="accent3">
                      <a:lumMod val="80000"/>
                      <a:lumOff val="20000"/>
                      <a:lumMod val="60000"/>
                      <a:lumOff val="40000"/>
                    </a:schemeClr>
                  </a:gs>
                  <a:gs pos="0">
                    <a:schemeClr val="accent3">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D-999B-4701-AED7-5CA8A7A08482}"/>
              </c:ext>
            </c:extLst>
          </c:dPt>
          <c:dPt>
            <c:idx val="15"/>
            <c:bubble3D val="0"/>
            <c:spPr>
              <a:gradFill>
                <a:gsLst>
                  <a:gs pos="100000">
                    <a:schemeClr val="accent4">
                      <a:lumMod val="80000"/>
                      <a:lumOff val="20000"/>
                      <a:lumMod val="60000"/>
                      <a:lumOff val="40000"/>
                    </a:schemeClr>
                  </a:gs>
                  <a:gs pos="0">
                    <a:schemeClr val="accent4">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F-999B-4701-AED7-5CA8A7A084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Broker!$A$4:$A$7</c:f>
              <c:strCache>
                <c:ptCount val="3"/>
                <c:pt idx="0">
                  <c:v>Ameritrade</c:v>
                </c:pt>
                <c:pt idx="1">
                  <c:v>Corredores</c:v>
                </c:pt>
                <c:pt idx="2">
                  <c:v>Merrill</c:v>
                </c:pt>
              </c:strCache>
            </c:strRef>
          </c:cat>
          <c:val>
            <c:numRef>
              <c:f>Broker!$B$4:$B$7</c:f>
              <c:numCache>
                <c:formatCode>_(* #,##0_);_(* \(#,##0\);_(* "-"??_);_(@_)</c:formatCode>
                <c:ptCount val="3"/>
                <c:pt idx="0">
                  <c:v>43829.014999999999</c:v>
                </c:pt>
                <c:pt idx="1">
                  <c:v>461644.61437528091</c:v>
                </c:pt>
                <c:pt idx="2">
                  <c:v>569519.19200000004</c:v>
                </c:pt>
              </c:numCache>
            </c:numRef>
          </c:val>
          <c:extLst>
            <c:ext xmlns:c16="http://schemas.microsoft.com/office/drawing/2014/chart" uri="{C3380CC4-5D6E-409C-BE32-E72D297353CC}">
              <c16:uniqueId val="{00000020-999B-4701-AED7-5CA8A7A08482}"/>
            </c:ext>
          </c:extLst>
        </c:ser>
        <c:dLbls>
          <c:dLblPos val="outEnd"/>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[LCA-retake-26oct.xlsx]TYPE!PivotTable18</c:name>
    <c:fmtId val="1"/>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1.8596034036670685E-2"/>
              <c:y val="7.5162680174894018E-3"/>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spPr>
          <a:gradFill>
            <a:gsLst>
              <a:gs pos="100000">
                <a:schemeClr val="accent2">
                  <a:lumMod val="60000"/>
                  <a:lumOff val="40000"/>
                </a:schemeClr>
              </a:gs>
              <a:gs pos="0">
                <a:schemeClr val="accent2"/>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7"/>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6226931263376806"/>
          <c:y val="0.12094787691792698"/>
          <c:w val="0.51212788873069404"/>
          <c:h val="0.73886770218346132"/>
        </c:manualLayout>
      </c:layout>
      <c:pieChart>
        <c:varyColors val="1"/>
        <c:ser>
          <c:idx val="0"/>
          <c:order val="0"/>
          <c:tx>
            <c:strRef>
              <c:f>TYPE!$B$3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DF00-47F6-97D2-EC873D2499FA}"/>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DF00-47F6-97D2-EC873D2499FA}"/>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DF00-47F6-97D2-EC873D2499FA}"/>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DF00-47F6-97D2-EC873D2499FA}"/>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DF00-47F6-97D2-EC873D2499FA}"/>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DF00-47F6-97D2-EC873D2499FA}"/>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DF00-47F6-97D2-EC873D2499FA}"/>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DF00-47F6-97D2-EC873D2499FA}"/>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DF00-47F6-97D2-EC873D2499FA}"/>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DF00-47F6-97D2-EC873D2499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TYPE!$A$4:$A$7</c:f>
              <c:strCache>
                <c:ptCount val="3"/>
                <c:pt idx="0">
                  <c:v>Cash</c:v>
                </c:pt>
                <c:pt idx="1">
                  <c:v>Equity</c:v>
                </c:pt>
                <c:pt idx="2">
                  <c:v>FI</c:v>
                </c:pt>
              </c:strCache>
            </c:strRef>
          </c:cat>
          <c:val>
            <c:numRef>
              <c:f>TYPE!$B$4:$B$7</c:f>
              <c:numCache>
                <c:formatCode>_(* #,##0_);_(* \(#,##0\);_(* "-"??_);_(@_)</c:formatCode>
                <c:ptCount val="3"/>
                <c:pt idx="0">
                  <c:v>74210.92</c:v>
                </c:pt>
                <c:pt idx="1">
                  <c:v>90660.020086849501</c:v>
                </c:pt>
                <c:pt idx="2">
                  <c:v>910121.88128843135</c:v>
                </c:pt>
              </c:numCache>
            </c:numRef>
          </c:val>
          <c:extLst>
            <c:ext xmlns:c16="http://schemas.microsoft.com/office/drawing/2014/chart" uri="{C3380CC4-5D6E-409C-BE32-E72D297353CC}">
              <c16:uniqueId val="{00000014-DF00-47F6-97D2-EC873D2499FA}"/>
            </c:ext>
          </c:extLst>
        </c:ser>
        <c:dLbls>
          <c:dLblPos val="outEnd"/>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[LCA-retake-26oct.xlsx]PE-EQUITY!PivotTable18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'PE-EQUITY'!$B$4</c:f>
              <c:strCache>
                <c:ptCount val="1"/>
                <c:pt idx="0">
                  <c:v>Sum of Market Value</c:v>
                </c:pt>
              </c:strCache>
            </c:strRef>
          </c:tx>
          <c:spPr>
            <a:solidFill>
              <a:schemeClr val="accent1"/>
            </a:solidFill>
            <a:ln>
              <a:noFill/>
            </a:ln>
            <a:effectLst/>
          </c:spPr>
          <c:invertIfNegative val="0"/>
          <c:cat>
            <c:strRef>
              <c:f>'PE-EQUITY'!$A$5:$A$21</c:f>
              <c:strCache>
                <c:ptCount val="16"/>
                <c:pt idx="0">
                  <c:v>US ENERGY INITIATIVES CORPORATION INC. (OTCM:USEI)</c:v>
                </c:pt>
                <c:pt idx="1">
                  <c:v>NIKOLA CORPORATION (XNAS:NKLA)</c:v>
                </c:pt>
                <c:pt idx="2">
                  <c:v>DOCUSIGN, INC. (XNAS:DOCU)</c:v>
                </c:pt>
                <c:pt idx="3">
                  <c:v>TWILIO INC. (XNYS:TWLO)</c:v>
                </c:pt>
                <c:pt idx="4">
                  <c:v>Vanguard Rus 2000 Id;ETF (XNAS:VTWO)</c:v>
                </c:pt>
                <c:pt idx="5">
                  <c:v>88 ENERGY LIMITED (OTCM:EEENF)</c:v>
                </c:pt>
                <c:pt idx="6">
                  <c:v>Vanguard EM St I;ETF (ARCX:VWO)</c:v>
                </c:pt>
                <c:pt idx="7">
                  <c:v>THE BOEING COMPANY (XNYS:BA)</c:v>
                </c:pt>
                <c:pt idx="8">
                  <c:v>Vanguard Dev Mkt;ETF (ARCX:VEA)</c:v>
                </c:pt>
                <c:pt idx="9">
                  <c:v>iShares:Core S&amp;P US Gr (XNAS:IUSG)</c:v>
                </c:pt>
                <c:pt idx="10">
                  <c:v>GRAYSCALE BITCOIN TRUST (BTC) (OTCM:GBTC)</c:v>
                </c:pt>
                <c:pt idx="11">
                  <c:v>iShares:Core S&amp;P US Val (XNAS:IUSV)</c:v>
                </c:pt>
                <c:pt idx="12">
                  <c:v>NETFLIX, INC. (XNAS:NFLX)</c:v>
                </c:pt>
                <c:pt idx="13">
                  <c:v>MICROSOFT CORPORATION (XNAS:MSFT)</c:v>
                </c:pt>
                <c:pt idx="14">
                  <c:v>TESLA, INC. (XNAS:TSLA)</c:v>
                </c:pt>
                <c:pt idx="15">
                  <c:v>AMAZON.COM, INC. (XNAS:AMZN)</c:v>
                </c:pt>
              </c:strCache>
            </c:strRef>
          </c:cat>
          <c:val>
            <c:numRef>
              <c:f>'PE-EQUITY'!$B$5:$B$21</c:f>
              <c:numCache>
                <c:formatCode>0.00%</c:formatCode>
                <c:ptCount val="16"/>
                <c:pt idx="0">
                  <c:v>1.599631441503331E-6</c:v>
                </c:pt>
                <c:pt idx="1">
                  <c:v>1.0984135898322873E-3</c:v>
                </c:pt>
                <c:pt idx="2">
                  <c:v>8.5846887360678768E-3</c:v>
                </c:pt>
                <c:pt idx="3">
                  <c:v>1.1325390605843583E-2</c:v>
                </c:pt>
                <c:pt idx="4">
                  <c:v>1.1500283643447949E-2</c:v>
                </c:pt>
                <c:pt idx="5">
                  <c:v>1.2797051532026649E-2</c:v>
                </c:pt>
                <c:pt idx="6">
                  <c:v>1.5348463681224462E-2</c:v>
                </c:pt>
                <c:pt idx="7">
                  <c:v>2.7254520500333758E-2</c:v>
                </c:pt>
                <c:pt idx="8">
                  <c:v>4.2453152036537406E-2</c:v>
                </c:pt>
                <c:pt idx="9">
                  <c:v>6.2266323572880679E-2</c:v>
                </c:pt>
                <c:pt idx="10">
                  <c:v>6.2296046857905726E-2</c:v>
                </c:pt>
                <c:pt idx="11">
                  <c:v>7.6418525275417051E-2</c:v>
                </c:pt>
                <c:pt idx="12">
                  <c:v>8.6008983346751097E-2</c:v>
                </c:pt>
                <c:pt idx="13">
                  <c:v>0.10610675277779896</c:v>
                </c:pt>
                <c:pt idx="14">
                  <c:v>0.20482640755873555</c:v>
                </c:pt>
                <c:pt idx="15">
                  <c:v>0.27171339665375582</c:v>
                </c:pt>
              </c:numCache>
            </c:numRef>
          </c:val>
          <c:extLst>
            <c:ext xmlns:c16="http://schemas.microsoft.com/office/drawing/2014/chart" uri="{C3380CC4-5D6E-409C-BE32-E72D297353CC}">
              <c16:uniqueId val="{00000000-1521-4D9B-95B5-F0E1D6004ED7}"/>
            </c:ext>
          </c:extLst>
        </c:ser>
        <c:dLbls>
          <c:showLegendKey val="0"/>
          <c:showVal val="0"/>
          <c:showCatName val="0"/>
          <c:showSerName val="0"/>
          <c:showPercent val="0"/>
          <c:showBubbleSize val="0"/>
        </c:dLbls>
        <c:gapWidth val="219"/>
        <c:overlap val="-27"/>
        <c:axId val="307708431"/>
        <c:axId val="307703439"/>
      </c:barChart>
      <c:lineChart>
        <c:grouping val="stacked"/>
        <c:varyColors val="0"/>
        <c:ser>
          <c:idx val="1"/>
          <c:order val="1"/>
          <c:tx>
            <c:strRef>
              <c:f>'PE-EQUITY'!$C$4</c:f>
              <c:strCache>
                <c:ptCount val="1"/>
                <c:pt idx="0">
                  <c:v>Sum of PE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'PE-EQUITY'!$A$5:$A$21</c:f>
              <c:strCache>
                <c:ptCount val="16"/>
                <c:pt idx="0">
                  <c:v>US ENERGY INITIATIVES CORPORATION INC. (OTCM:USEI)</c:v>
                </c:pt>
                <c:pt idx="1">
                  <c:v>NIKOLA CORPORATION (XNAS:NKLA)</c:v>
                </c:pt>
                <c:pt idx="2">
                  <c:v>DOCUSIGN, INC. (XNAS:DOCU)</c:v>
                </c:pt>
                <c:pt idx="3">
                  <c:v>TWILIO INC. (XNYS:TWLO)</c:v>
                </c:pt>
                <c:pt idx="4">
                  <c:v>Vanguard Rus 2000 Id;ETF (XNAS:VTWO)</c:v>
                </c:pt>
                <c:pt idx="5">
                  <c:v>88 ENERGY LIMITED (OTCM:EEENF)</c:v>
                </c:pt>
                <c:pt idx="6">
                  <c:v>Vanguard EM St I;ETF (ARCX:VWO)</c:v>
                </c:pt>
                <c:pt idx="7">
                  <c:v>THE BOEING COMPANY (XNYS:BA)</c:v>
                </c:pt>
                <c:pt idx="8">
                  <c:v>Vanguard Dev Mkt;ETF (ARCX:VEA)</c:v>
                </c:pt>
                <c:pt idx="9">
                  <c:v>iShares:Core S&amp;P US Gr (XNAS:IUSG)</c:v>
                </c:pt>
                <c:pt idx="10">
                  <c:v>GRAYSCALE BITCOIN TRUST (BTC) (OTCM:GBTC)</c:v>
                </c:pt>
                <c:pt idx="11">
                  <c:v>iShares:Core S&amp;P US Val (XNAS:IUSV)</c:v>
                </c:pt>
                <c:pt idx="12">
                  <c:v>NETFLIX, INC. (XNAS:NFLX)</c:v>
                </c:pt>
                <c:pt idx="13">
                  <c:v>MICROSOFT CORPORATION (XNAS:MSFT)</c:v>
                </c:pt>
                <c:pt idx="14">
                  <c:v>TESLA, INC. (XNAS:TSLA)</c:v>
                </c:pt>
                <c:pt idx="15">
                  <c:v>AMAZON.COM, INC. (XNAS:AMZN)</c:v>
                </c:pt>
              </c:strCache>
            </c:strRef>
          </c:cat>
          <c:val>
            <c:numRef>
              <c:f>'PE-EQUITY'!$C$5:$C$21</c:f>
              <c:numCache>
                <c:formatCode>_(* #,##0.00_);_(* \(#,##0.00\);_(* "-"??_);_(@_)</c:formatCode>
                <c:ptCount val="16"/>
                <c:pt idx="0">
                  <c:v>0</c:v>
                </c:pt>
                <c:pt idx="1">
                  <c:v>0</c:v>
                </c:pt>
                <c:pt idx="2">
                  <c:v>0</c:v>
                </c:pt>
                <c:pt idx="3">
                  <c:v>0</c:v>
                </c:pt>
                <c:pt idx="4">
                  <c:v>11.79</c:v>
                </c:pt>
                <c:pt idx="5">
                  <c:v>0</c:v>
                </c:pt>
                <c:pt idx="6">
                  <c:v>11.15</c:v>
                </c:pt>
                <c:pt idx="7">
                  <c:v>0</c:v>
                </c:pt>
                <c:pt idx="8">
                  <c:v>11.82</c:v>
                </c:pt>
                <c:pt idx="9">
                  <c:v>20.350000000000001</c:v>
                </c:pt>
                <c:pt idx="10">
                  <c:v>2.3593999999999999</c:v>
                </c:pt>
                <c:pt idx="11">
                  <c:v>15.38</c:v>
                </c:pt>
                <c:pt idx="12">
                  <c:v>43.525700000000001</c:v>
                </c:pt>
                <c:pt idx="13">
                  <c:v>33.730600000000003</c:v>
                </c:pt>
                <c:pt idx="14">
                  <c:v>68.298199999999994</c:v>
                </c:pt>
                <c:pt idx="15">
                  <c:v>99.519000000000005</c:v>
                </c:pt>
              </c:numCache>
            </c:numRef>
          </c:val>
          <c:smooth val="0"/>
          <c:extLst>
            <c:ext xmlns:c16="http://schemas.microsoft.com/office/drawing/2014/chart" uri="{C3380CC4-5D6E-409C-BE32-E72D297353CC}">
              <c16:uniqueId val="{00000001-1521-4D9B-95B5-F0E1D6004ED7}"/>
            </c:ext>
          </c:extLst>
        </c:ser>
        <c:dLbls>
          <c:showLegendKey val="0"/>
          <c:showVal val="0"/>
          <c:showCatName val="0"/>
          <c:showSerName val="0"/>
          <c:showPercent val="0"/>
          <c:showBubbleSize val="0"/>
        </c:dLbls>
        <c:marker val="1"/>
        <c:smooth val="0"/>
        <c:axId val="307664751"/>
        <c:axId val="307677647"/>
      </c:lineChart>
      <c:catAx>
        <c:axId val="30770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03439"/>
        <c:crosses val="autoZero"/>
        <c:auto val="1"/>
        <c:lblAlgn val="ctr"/>
        <c:lblOffset val="100"/>
        <c:noMultiLvlLbl val="0"/>
      </c:catAx>
      <c:valAx>
        <c:axId val="307703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08431"/>
        <c:crosses val="autoZero"/>
        <c:crossBetween val="between"/>
      </c:valAx>
      <c:valAx>
        <c:axId val="307677647"/>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664751"/>
        <c:crosses val="max"/>
        <c:crossBetween val="between"/>
      </c:valAx>
      <c:catAx>
        <c:axId val="307664751"/>
        <c:scaling>
          <c:orientation val="minMax"/>
        </c:scaling>
        <c:delete val="1"/>
        <c:axPos val="b"/>
        <c:numFmt formatCode="General" sourceLinked="1"/>
        <c:majorTickMark val="out"/>
        <c:minorTickMark val="none"/>
        <c:tickLblPos val="nextTo"/>
        <c:crossAx val="3076776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114300</xdr:colOff>
      <xdr:row>0</xdr:row>
      <xdr:rowOff>80961</xdr:rowOff>
    </xdr:from>
    <xdr:to>
      <xdr:col>13</xdr:col>
      <xdr:colOff>495299</xdr:colOff>
      <xdr:row>28</xdr:row>
      <xdr:rowOff>28575</xdr:rowOff>
    </xdr:to>
    <xdr:graphicFrame macro="">
      <xdr:nvGraphicFramePr>
        <xdr:cNvPr id="2" name="Chart 1">
          <a:extLst>
            <a:ext uri="{FF2B5EF4-FFF2-40B4-BE49-F238E27FC236}">
              <a16:creationId xmlns:a16="http://schemas.microsoft.com/office/drawing/2014/main" id="{F1E1CC48-9548-EA26-1E51-3627A8731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0</xdr:row>
      <xdr:rowOff>80960</xdr:rowOff>
    </xdr:from>
    <xdr:to>
      <xdr:col>17</xdr:col>
      <xdr:colOff>523875</xdr:colOff>
      <xdr:row>32</xdr:row>
      <xdr:rowOff>76199</xdr:rowOff>
    </xdr:to>
    <xdr:graphicFrame macro="">
      <xdr:nvGraphicFramePr>
        <xdr:cNvPr id="2" name="Chart 1">
          <a:extLst>
            <a:ext uri="{FF2B5EF4-FFF2-40B4-BE49-F238E27FC236}">
              <a16:creationId xmlns:a16="http://schemas.microsoft.com/office/drawing/2014/main" id="{A39E08CB-785A-49FB-8AF4-BBD106336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0</xdr:row>
      <xdr:rowOff>80960</xdr:rowOff>
    </xdr:from>
    <xdr:to>
      <xdr:col>17</xdr:col>
      <xdr:colOff>523875</xdr:colOff>
      <xdr:row>32</xdr:row>
      <xdr:rowOff>76199</xdr:rowOff>
    </xdr:to>
    <xdr:graphicFrame macro="">
      <xdr:nvGraphicFramePr>
        <xdr:cNvPr id="2" name="Chart 1">
          <a:extLst>
            <a:ext uri="{FF2B5EF4-FFF2-40B4-BE49-F238E27FC236}">
              <a16:creationId xmlns:a16="http://schemas.microsoft.com/office/drawing/2014/main" id="{ED8E8665-0C33-40CC-AB6E-08C06EFB4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114300</xdr:colOff>
      <xdr:row>0</xdr:row>
      <xdr:rowOff>80960</xdr:rowOff>
    </xdr:from>
    <xdr:to>
      <xdr:col>17</xdr:col>
      <xdr:colOff>523875</xdr:colOff>
      <xdr:row>32</xdr:row>
      <xdr:rowOff>76199</xdr:rowOff>
    </xdr:to>
    <xdr:graphicFrame macro="">
      <xdr:nvGraphicFramePr>
        <xdr:cNvPr id="2" name="Chart 1">
          <a:extLst>
            <a:ext uri="{FF2B5EF4-FFF2-40B4-BE49-F238E27FC236}">
              <a16:creationId xmlns:a16="http://schemas.microsoft.com/office/drawing/2014/main" id="{DB86B841-FE84-47BA-9F18-311CEC0B9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114300</xdr:colOff>
      <xdr:row>0</xdr:row>
      <xdr:rowOff>80961</xdr:rowOff>
    </xdr:from>
    <xdr:to>
      <xdr:col>13</xdr:col>
      <xdr:colOff>495299</xdr:colOff>
      <xdr:row>28</xdr:row>
      <xdr:rowOff>28575</xdr:rowOff>
    </xdr:to>
    <xdr:graphicFrame macro="">
      <xdr:nvGraphicFramePr>
        <xdr:cNvPr id="2" name="Chart 1">
          <a:extLst>
            <a:ext uri="{FF2B5EF4-FFF2-40B4-BE49-F238E27FC236}">
              <a16:creationId xmlns:a16="http://schemas.microsoft.com/office/drawing/2014/main" id="{8D779569-3A9B-48BA-9803-34BD8406A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156882</xdr:colOff>
      <xdr:row>0</xdr:row>
      <xdr:rowOff>174810</xdr:rowOff>
    </xdr:from>
    <xdr:to>
      <xdr:col>17</xdr:col>
      <xdr:colOff>0</xdr:colOff>
      <xdr:row>30</xdr:row>
      <xdr:rowOff>168087</xdr:rowOff>
    </xdr:to>
    <xdr:graphicFrame macro="">
      <xdr:nvGraphicFramePr>
        <xdr:cNvPr id="5" name="Chart 4">
          <a:extLst>
            <a:ext uri="{FF2B5EF4-FFF2-40B4-BE49-F238E27FC236}">
              <a16:creationId xmlns:a16="http://schemas.microsoft.com/office/drawing/2014/main" id="{1D8DCDD9-B0EC-D54C-B080-4280AAAE6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222.513172569445" createdVersion="8" refreshedVersion="8" minRefreshableVersion="3" recordCount="26" xr:uid="{054B9C64-8F7E-4848-B86B-3526C2D64CA6}">
  <cacheSource type="worksheet">
    <worksheetSource ref="A2:T28" sheet="Portfolio"/>
  </cacheSource>
  <cacheFields count="20">
    <cacheField name="CCY" numFmtId="0">
      <sharedItems/>
    </cacheField>
    <cacheField name="Legal entity" numFmtId="0">
      <sharedItems/>
    </cacheField>
    <cacheField name="Broker" numFmtId="0">
      <sharedItems/>
    </cacheField>
    <cacheField name="Name" numFmtId="0">
      <sharedItems containsBlank="1" count="37">
        <s v="Banco de Bogota 6.26% 05/12/26"/>
        <s v="iShares:Brd USD HY Cp Bd (BATS:USHY)"/>
        <s v="iShares:Brd USD IG Cp Bd (XNAS:USIG)"/>
        <s v="iShares:ST Nat Muni Bond (ARCX:SUB)"/>
        <s v="Ishares National Muni - MUB"/>
        <s v="VanEck:High Yield Muni (BATS:HYD)"/>
        <s v="iShares:US Treasury Bond (BATS:GOVT)"/>
        <s v="iShares:Core S&amp;P US Gr (XNAS:IUSG)"/>
        <s v="iShares:Core S&amp;P US Val (XNAS:IUSV)"/>
        <s v="Vanguard EM St I;ETF (ARCX:VWO)"/>
        <s v="Vanguard Dev Mkt;ETF (ARCX:VEA)"/>
        <s v="Vanguard Rus 2000 Id;ETF (XNAS:VTWO)"/>
        <s v="Cash"/>
        <s v="Deposit Program"/>
        <s v="88 ENERGY LIMITED (OTCM:EEENF)"/>
        <s v="AMAZON.COM, INC. (XNAS:AMZN)"/>
        <s v="THE BOEING COMPANY (XNYS:BA)"/>
        <s v="DOCUSIGN, INC. (XNAS:DOCU)"/>
        <s v="GRAYSCALE BITCOIN TRUST (BTC) (OTCM:GBTC)"/>
        <s v="MICROSOFT CORPORATION (XNAS:MSFT)"/>
        <s v="NETFLIX, INC. (XNAS:NFLX)"/>
        <s v="NIKOLA CORPORATION (XNAS:NKLA)"/>
        <s v="TESLA, INC. (XNAS:TSLA)"/>
        <s v="TWILIO INC. (XNYS:TWLO)"/>
        <s v="US ENERGY INITIATIVES CORPORATION INC. (OTCM:USEI)"/>
        <s v="Fondo De inversion Colectiva Inmobiliario de Renta Davivienda"/>
        <s v="NEUBERGER BERMAN 5G Conectivity" u="1"/>
        <s v="JPM Greater China" u="1"/>
        <s v="Pictet Asian Equities Ex Japan" u="1"/>
        <s v="BGF Global Multi ASSET INCOME" u="1"/>
        <s v="BGFCONTINENTAL EUROPEAN FLEXIBLE" u="1"/>
        <s v="PICTET TOTAL RETURN ATLAS" u="1"/>
        <m u="1"/>
        <s v="House Mortage" u="1"/>
        <s v="Pathward Financial, Inc. (XNAS:CASH)" u="1"/>
        <s v="CDT BBVA Colombia" u="1"/>
        <s v="CDT FALABELLA" u="1"/>
      </sharedItems>
    </cacheField>
    <cacheField name="Nominal" numFmtId="0">
      <sharedItems containsString="0" containsBlank="1" containsNumber="1" containsInteger="1" minValue="3" maxValue="150000"/>
    </cacheField>
    <cacheField name="Price" numFmtId="0">
      <sharedItems containsString="0" containsBlank="1" containsNumber="1" minValue="9.9999999999999995E-7" maxValue="13633.329117342468"/>
    </cacheField>
    <cacheField name="Market Value" numFmtId="165">
      <sharedItems containsSemiMixedTypes="0" containsString="0" containsNumber="1" minValue="7.4999999999999997E-2" maxValue="135079.6"/>
    </cacheField>
    <cacheField name="Maturity" numFmtId="0">
      <sharedItems containsNonDate="0" containsDate="1" containsString="0" containsBlank="1" minDate="2026-05-12T00:00:00" maxDate="2026-05-13T00:00:00"/>
    </cacheField>
    <cacheField name="TYPE" numFmtId="165">
      <sharedItems count="5">
        <s v="FI"/>
        <s v="Equity"/>
        <s v="Cash"/>
        <s v="Mutual" u="1"/>
        <s v="Bond" u="1"/>
      </sharedItems>
    </cacheField>
    <cacheField name="Exposition" numFmtId="165">
      <sharedItems/>
    </cacheField>
    <cacheField name="Exposition-SUB" numFmtId="0">
      <sharedItems/>
    </cacheField>
    <cacheField name="Country of exposure" numFmtId="165">
      <sharedItems count="7">
        <s v="Colombia"/>
        <s v="USA"/>
        <s v="EM"/>
        <s v="DM"/>
        <s v="China" u="1"/>
        <s v="Europe" u="1"/>
        <s v="CASH" u="1"/>
      </sharedItems>
    </cacheField>
    <cacheField name="FUND-POSITION" numFmtId="165">
      <sharedItems count="2">
        <s v="Position"/>
        <s v="FUND"/>
      </sharedItems>
    </cacheField>
    <cacheField name="Yield" numFmtId="0">
      <sharedItems containsString="0" containsBlank="1" containsNumber="1" minValue="0" maxValue="8.8999999999999996E-2"/>
    </cacheField>
    <cacheField name="PE" numFmtId="0">
      <sharedItems containsBlank="1" containsMixedTypes="1" containsNumber="1" minValue="0" maxValue="149.25373134328359"/>
    </cacheField>
    <cacheField name="Management Fee" numFmtId="0">
      <sharedItems containsString="0" containsBlank="1" containsNumber="1" minValue="4.0000000000000002E-4" maxValue="1.8100000000000002E-2" count="14">
        <m/>
        <n v="1.5E-3"/>
        <n v="4.0000000000000002E-4"/>
        <n v="7.000000000000001E-4"/>
        <n v="5.0000000000000001E-4"/>
        <n v="8.0000000000000004E-4"/>
        <n v="1E-3"/>
        <n v="1.7000000000000001E-2" u="1"/>
        <n v="1.7500000000000002E-2" u="1"/>
        <n v="1.4E-2" u="1"/>
        <n v="1.8100000000000002E-2" u="1"/>
        <n v="1.6E-2" u="1"/>
        <n v="1.4999999999999999E-2" u="1"/>
        <n v="8.9999999999999998E-4" u="1"/>
      </sharedItems>
    </cacheField>
    <cacheField name="Sales Charge" numFmtId="0">
      <sharedItems containsNonDate="0" containsString="0" containsBlank="1"/>
    </cacheField>
    <cacheField name="Exit Fee" numFmtId="0">
      <sharedItems containsNonDate="0" containsString="0" containsBlank="1"/>
    </cacheField>
    <cacheField name="Ferformance Fee" numFmtId="0">
      <sharedItems containsNonDate="0" containsString="0" containsBlank="1"/>
    </cacheField>
    <cacheField name="Annual Fee" numFmtId="0">
      <sharedItems containsString="0" containsBlank="1" containsNumber="1" minValue="9.4454400000000008E-2" maxValue="1.43472000000000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222.522233796299" createdVersion="8" refreshedVersion="8" minRefreshableVersion="3" recordCount="41" xr:uid="{5CEA7F93-D462-4A19-8701-2852E7BC06A0}">
  <cacheSource type="worksheet">
    <worksheetSource ref="A2:T43" sheet="Portfolio"/>
  </cacheSource>
  <cacheFields count="20">
    <cacheField name="CCY" numFmtId="0">
      <sharedItems count="2">
        <s v="USD"/>
        <s v="COP"/>
      </sharedItems>
    </cacheField>
    <cacheField name="Legal entity" numFmtId="0">
      <sharedItems/>
    </cacheField>
    <cacheField name="Broker" numFmtId="0">
      <sharedItems count="3">
        <s v="Corredores"/>
        <s v="Merrill"/>
        <s v="Ameritrade"/>
      </sharedItems>
    </cacheField>
    <cacheField name="Name" numFmtId="0">
      <sharedItems count="32">
        <s v="Banco de Bogota 6.26% 05/12/26"/>
        <s v="iShares:Brd USD HY Cp Bd (BATS:USHY)"/>
        <s v="iShares:Brd USD IG Cp Bd (XNAS:USIG)"/>
        <s v="iShares:ST Nat Muni Bond (ARCX:SUB)"/>
        <s v="Ishares National Muni - MUB"/>
        <s v="VanEck:High Yield Muni (BATS:HYD)"/>
        <s v="iShares:US Treasury Bond (BATS:GOVT)"/>
        <s v="iShares:Core S&amp;P US Gr (XNAS:IUSG)"/>
        <s v="iShares:Core S&amp;P US Val (XNAS:IUSV)"/>
        <s v="Vanguard EM St I;ETF (ARCX:VWO)"/>
        <s v="Vanguard Dev Mkt;ETF (ARCX:VEA)"/>
        <s v="Vanguard Rus 2000 Id;ETF (XNAS:VTWO)"/>
        <s v="Cash"/>
        <s v="Deposit Program"/>
        <s v="88 ENERGY LIMITED (OTCM:EEENF)"/>
        <s v="AMAZON.COM, INC. (XNAS:AMZN)"/>
        <s v="THE BOEING COMPANY (XNYS:BA)"/>
        <s v="DOCUSIGN, INC. (XNAS:DOCU)"/>
        <s v="GRAYSCALE BITCOIN TRUST (BTC) (OTCM:GBTC)"/>
        <s v="MICROSOFT CORPORATION (XNAS:MSFT)"/>
        <s v="NETFLIX, INC. (XNAS:NFLX)"/>
        <s v="NIKOLA CORPORATION (XNAS:NKLA)"/>
        <s v="TESLA, INC. (XNAS:TSLA)"/>
        <s v="TWILIO INC. (XNYS:TWLO)"/>
        <s v="US ENERGY INITIATIVES CORPORATION INC. (OTCM:USEI)"/>
        <s v="Fondo De inversion Colectiva Inmobiliario de Renta Davivienda"/>
        <s v="CDT-BANCOL-IPC"/>
        <s v="Fondo de inversion colectiva Interes Participacion A"/>
        <s v="Fondo de inversion colectiva Acciones America Participacion A"/>
        <s v="Banco Davivienda Pert"/>
        <s v="US T BILL"/>
        <s v="Mineros"/>
      </sharedItems>
    </cacheField>
    <cacheField name="Nominal" numFmtId="0">
      <sharedItems containsString="0" containsBlank="1" containsNumber="1" minValue="3" maxValue="250000000"/>
    </cacheField>
    <cacheField name="Price" numFmtId="0">
      <sharedItems containsString="0" containsBlank="1" containsNumber="1" minValue="9.9999999999999995E-7" maxValue="22467"/>
    </cacheField>
    <cacheField name="Market Value" numFmtId="165">
      <sharedItems containsSemiMixedTypes="0" containsString="0" containsNumber="1" minValue="7.4999999999999997E-2" maxValue="493938"/>
    </cacheField>
    <cacheField name="Maturity" numFmtId="0">
      <sharedItems containsNonDate="0" containsDate="1" containsString="0" containsBlank="1" minDate="2023-12-21T00:00:00" maxDate="3000-01-02T00:00:00"/>
    </cacheField>
    <cacheField name="TYPE" numFmtId="0">
      <sharedItems count="3">
        <s v="FI"/>
        <s v="Equity"/>
        <s v="Cash"/>
      </sharedItems>
    </cacheField>
    <cacheField name="Exposition" numFmtId="0">
      <sharedItems count="16">
        <s v="Banco De Bogota"/>
        <s v="High Yield Corporate"/>
        <s v="Investment Grade"/>
        <s v="Muni"/>
        <s v="Govt"/>
        <s v="Growth"/>
        <s v="Emarging Markets"/>
        <s v="DM Indexed"/>
        <s v="Cash"/>
        <s v="Technology"/>
        <s v="Airspace"/>
        <s v="Real State"/>
        <s v="BANCOLOMBIA"/>
        <s v="Colombia"/>
        <s v="DAVIVIENDA"/>
        <s v="Banking" u="1"/>
      </sharedItems>
    </cacheField>
    <cacheField name="Exposition-SUB" numFmtId="0">
      <sharedItems/>
    </cacheField>
    <cacheField name="Country of exposure" numFmtId="0">
      <sharedItems count="4">
        <s v="Colombia"/>
        <s v="USA"/>
        <s v="EM"/>
        <s v="DM"/>
      </sharedItems>
    </cacheField>
    <cacheField name="FUND-POSITION" numFmtId="0">
      <sharedItems containsBlank="1" count="4">
        <s v="Position"/>
        <s v="FUND"/>
        <s v="FUND-POSITION"/>
        <m/>
      </sharedItems>
    </cacheField>
    <cacheField name="Yield" numFmtId="0">
      <sharedItems containsString="0" containsBlank="1" containsNumber="1" minValue="0" maxValue="12"/>
    </cacheField>
    <cacheField name="PE" numFmtId="0">
      <sharedItems containsBlank="1" containsMixedTypes="1" containsNumber="1" minValue="0" maxValue="149.25373134328359"/>
    </cacheField>
    <cacheField name="Management Fee" numFmtId="0">
      <sharedItems containsString="0" containsBlank="1" containsNumber="1" minValue="4.0000000000000002E-4" maxValue="1.5E-3"/>
    </cacheField>
    <cacheField name="Sales Charge" numFmtId="0">
      <sharedItems containsNonDate="0" containsString="0" containsBlank="1"/>
    </cacheField>
    <cacheField name="Exit Fee" numFmtId="0">
      <sharedItems containsNonDate="0" containsString="0" containsBlank="1"/>
    </cacheField>
    <cacheField name="Ferformance Fee" numFmtId="0">
      <sharedItems containsNonDate="0" containsString="0" containsBlank="1"/>
    </cacheField>
    <cacheField name="Annual Fee" numFmtId="0">
      <sharedItems containsString="0" containsBlank="1" containsNumber="1" minValue="9.4439800000000004E-2" maxValue="1.4331774800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s v="USD"/>
    <s v="UF Ventures"/>
    <s v="Corredores"/>
    <x v="0"/>
    <n v="148000"/>
    <n v="139.44"/>
    <n v="135079.6"/>
    <d v="2026-05-12T00:00:00"/>
    <x v="0"/>
    <s v="Banco De Bogota"/>
    <s v="Banco De Bogota"/>
    <x v="0"/>
    <x v="0"/>
    <n v="8.8999999999999996E-2"/>
    <m/>
    <x v="0"/>
    <m/>
    <m/>
    <m/>
    <m/>
  </r>
  <r>
    <s v="USD"/>
    <s v="Lucas Cardona- US"/>
    <s v="Merrill"/>
    <x v="1"/>
    <n v="3"/>
    <n v="34.075000000000003"/>
    <n v="102.22500000000001"/>
    <m/>
    <x v="0"/>
    <s v="High Yield Corporate"/>
    <s v="FI-High Yield Corporate"/>
    <x v="1"/>
    <x v="0"/>
    <n v="6.0900000000000003E-2"/>
    <n v="16.420361247947454"/>
    <x v="1"/>
    <m/>
    <m/>
    <m/>
    <n v="0.15333750000000002"/>
  </r>
  <r>
    <s v="USD"/>
    <s v="Lucas Cardona- US"/>
    <s v="Merrill"/>
    <x v="2"/>
    <n v="5"/>
    <n v="47.227200000000003"/>
    <n v="236.13600000000002"/>
    <m/>
    <x v="0"/>
    <s v="Investment Grade"/>
    <s v="FI-Investment Grade Corporate"/>
    <x v="1"/>
    <x v="0"/>
    <n v="2.9700000000000001E-2"/>
    <n v="33.670033670033668"/>
    <x v="2"/>
    <m/>
    <m/>
    <m/>
    <n v="9.4454400000000008E-2"/>
  </r>
  <r>
    <s v="USD"/>
    <s v="Lucas Cardona- US"/>
    <s v="Merrill"/>
    <x v="3"/>
    <n v="4"/>
    <n v="102.84"/>
    <n v="411.36"/>
    <m/>
    <x v="0"/>
    <s v="Muni"/>
    <s v="Fi-Muni "/>
    <x v="1"/>
    <x v="0"/>
    <n v="6.7000000000000002E-3"/>
    <n v="149.25373134328359"/>
    <x v="3"/>
    <m/>
    <m/>
    <m/>
    <n v="0.28795200000000004"/>
  </r>
  <r>
    <s v="USD"/>
    <s v="Lucas Cardona- US"/>
    <s v="Merrill"/>
    <x v="4"/>
    <n v="15"/>
    <n v="102.58"/>
    <n v="1538.7"/>
    <m/>
    <x v="0"/>
    <s v="Muni"/>
    <s v="Fi-Muni "/>
    <x v="1"/>
    <x v="0"/>
    <n v="2.0199999999999999E-2"/>
    <n v="49.504950495049506"/>
    <x v="0"/>
    <m/>
    <m/>
    <m/>
    <m/>
  </r>
  <r>
    <s v="USD"/>
    <s v="Lucas Cardona- US"/>
    <s v="Merrill"/>
    <x v="5"/>
    <n v="7"/>
    <n v="49.93"/>
    <n v="349.51"/>
    <m/>
    <x v="0"/>
    <s v="Muni"/>
    <s v="Fi-Muni High Yield"/>
    <x v="1"/>
    <x v="0"/>
    <n v="4.0899999999999999E-2"/>
    <n v="24.449877750611247"/>
    <x v="0"/>
    <m/>
    <m/>
    <m/>
    <m/>
  </r>
  <r>
    <s v="USD"/>
    <s v="Lucas Cardona- US"/>
    <s v="Merrill"/>
    <x v="6"/>
    <n v="11"/>
    <n v="21.785"/>
    <n v="239.63499999999999"/>
    <m/>
    <x v="0"/>
    <s v="Govt"/>
    <s v="Fi-UST GOVT"/>
    <x v="1"/>
    <x v="0"/>
    <n v="1.3899999999999999E-2"/>
    <n v="71.942446043165475"/>
    <x v="4"/>
    <m/>
    <m/>
    <m/>
    <n v="0.11981749999999999"/>
  </r>
  <r>
    <s v="USD"/>
    <s v="Lucas Cardona- US"/>
    <s v="Merrill"/>
    <x v="7"/>
    <n v="31"/>
    <n v="94.254999999999995"/>
    <n v="2921.9049999999997"/>
    <m/>
    <x v="1"/>
    <s v="Growth"/>
    <s v="Equity-Growth SPX"/>
    <x v="1"/>
    <x v="0"/>
    <n v="0.01"/>
    <n v="20.350000000000001"/>
    <x v="2"/>
    <m/>
    <m/>
    <m/>
    <m/>
  </r>
  <r>
    <s v="USD"/>
    <s v="Lucas Cardona- US"/>
    <s v="Merrill"/>
    <x v="8"/>
    <n v="49"/>
    <n v="73.2"/>
    <n v="3586.8"/>
    <m/>
    <x v="1"/>
    <s v="Growth"/>
    <s v="Equity-Value SPX"/>
    <x v="1"/>
    <x v="0"/>
    <n v="2.4299999999999999E-2"/>
    <n v="15.38"/>
    <x v="2"/>
    <m/>
    <m/>
    <m/>
    <n v="1.4347200000000002"/>
  </r>
  <r>
    <s v="USD"/>
    <s v="Lucas Cardona- US"/>
    <s v="Merrill"/>
    <x v="9"/>
    <n v="19"/>
    <n v="37.89"/>
    <n v="719.91"/>
    <m/>
    <x v="1"/>
    <s v="Emarging Markets"/>
    <s v="Equity- Emerging Markets Indexed"/>
    <x v="2"/>
    <x v="0"/>
    <n v="3.95E-2"/>
    <n v="11.15"/>
    <x v="5"/>
    <m/>
    <m/>
    <m/>
    <n v="0.575928"/>
  </r>
  <r>
    <s v="USD"/>
    <s v="Lucas Cardona- US"/>
    <s v="Merrill"/>
    <x v="10"/>
    <n v="47"/>
    <n v="42.376199999999997"/>
    <n v="1991.6813999999999"/>
    <m/>
    <x v="1"/>
    <s v="DM Indexed"/>
    <s v="Equity-Developed Markets Indexed"/>
    <x v="3"/>
    <x v="0"/>
    <n v="4.1300000000000003E-2"/>
    <n v="11.82"/>
    <x v="4"/>
    <m/>
    <m/>
    <m/>
    <n v="0.99584070000000002"/>
  </r>
  <r>
    <s v="USD"/>
    <s v="Lucas Cardona- US"/>
    <s v="Merrill"/>
    <x v="11"/>
    <n v="8"/>
    <n v="67.44"/>
    <n v="539.52"/>
    <m/>
    <x v="1"/>
    <s v="DM Indexed"/>
    <s v="Equity-Developed Markets Indexed"/>
    <x v="3"/>
    <x v="0"/>
    <n v="1.6500000000000001E-2"/>
    <n v="11.79"/>
    <x v="6"/>
    <m/>
    <m/>
    <m/>
    <n v="0.53952"/>
  </r>
  <r>
    <s v="USD"/>
    <s v="Lucas Cardona- US"/>
    <s v="Ameritrade"/>
    <x v="12"/>
    <m/>
    <m/>
    <n v="6694.84"/>
    <m/>
    <x v="2"/>
    <s v="Cash"/>
    <s v="Cash"/>
    <x v="1"/>
    <x v="0"/>
    <n v="0"/>
    <m/>
    <x v="0"/>
    <m/>
    <m/>
    <m/>
    <m/>
  </r>
  <r>
    <s v="USD"/>
    <s v="Lucas Cardona- US"/>
    <s v="Merrill"/>
    <x v="13"/>
    <m/>
    <m/>
    <n v="845"/>
    <m/>
    <x v="2"/>
    <s v="Cash"/>
    <s v="Cash"/>
    <x v="1"/>
    <x v="0"/>
    <m/>
    <m/>
    <x v="0"/>
    <m/>
    <m/>
    <m/>
    <m/>
  </r>
  <r>
    <s v="USD"/>
    <s v="Lucas Cardona- US"/>
    <s v="Ameritrade"/>
    <x v="14"/>
    <n v="150000"/>
    <n v="4.0000000000000001E-3"/>
    <n v="600"/>
    <m/>
    <x v="1"/>
    <s v="Technology"/>
    <s v="88 ENERGY LIMITED (OTCM:EEENF)"/>
    <x v="1"/>
    <x v="0"/>
    <n v="0"/>
    <n v="0"/>
    <x v="0"/>
    <m/>
    <m/>
    <m/>
    <m/>
  </r>
  <r>
    <s v="USD"/>
    <s v="Lucas Cardona- US"/>
    <s v="Ameritrade"/>
    <x v="15"/>
    <n v="100"/>
    <n v="127.43"/>
    <n v="12743"/>
    <m/>
    <x v="1"/>
    <s v="Technology"/>
    <s v="AMAZON.COM, INC. (XNAS:AMZN)"/>
    <x v="1"/>
    <x v="0"/>
    <n v="0"/>
    <n v="99.519000000000005"/>
    <x v="0"/>
    <m/>
    <m/>
    <m/>
    <m/>
  </r>
  <r>
    <s v="USD"/>
    <s v="Lucas Cardona- US"/>
    <s v="Ameritrade"/>
    <x v="16"/>
    <n v="7"/>
    <n v="182.69499999999999"/>
    <n v="1278.865"/>
    <m/>
    <x v="1"/>
    <s v="Airspace"/>
    <s v="THE BOEING COMPANY (XNYS:BA)"/>
    <x v="1"/>
    <x v="0"/>
    <n v="0"/>
    <s v="#FIELD!"/>
    <x v="0"/>
    <m/>
    <m/>
    <m/>
    <m/>
  </r>
  <r>
    <s v="USD"/>
    <s v="Lucas Cardona- US"/>
    <s v="Ameritrade"/>
    <x v="17"/>
    <n v="10"/>
    <n v="40.203899999999997"/>
    <n v="402.03899999999999"/>
    <m/>
    <x v="1"/>
    <s v="Technology"/>
    <s v="DOCUSIGN, INC. (XNAS:DOCU)"/>
    <x v="1"/>
    <x v="0"/>
    <n v="0"/>
    <n v="0"/>
    <x v="0"/>
    <m/>
    <m/>
    <m/>
    <m/>
  </r>
  <r>
    <s v="USD"/>
    <s v="Lucas Cardona- US"/>
    <s v="Ameritrade"/>
    <x v="18"/>
    <n v="120"/>
    <n v="24.3"/>
    <n v="2916"/>
    <m/>
    <x v="1"/>
    <s v="Technology"/>
    <s v="GRAYSCALE BITCOIN TRUST (BTC) (OTCM:GBTC)"/>
    <x v="1"/>
    <x v="0"/>
    <n v="0"/>
    <n v="2.3593999999999999"/>
    <x v="0"/>
    <m/>
    <m/>
    <m/>
    <m/>
  </r>
  <r>
    <s v="USD"/>
    <s v="Lucas Cardona- US"/>
    <s v="Ameritrade"/>
    <x v="19"/>
    <n v="15"/>
    <n v="331.72"/>
    <n v="4975.8"/>
    <m/>
    <x v="1"/>
    <s v="Technology"/>
    <s v="MICROSOFT CORPORATION (XNAS:MSFT)"/>
    <x v="1"/>
    <x v="0"/>
    <n v="2.7199999999999998E-2"/>
    <n v="33.730600000000003"/>
    <x v="0"/>
    <m/>
    <m/>
    <m/>
    <m/>
  </r>
  <r>
    <s v="USD"/>
    <s v="Lucas Cardona- US"/>
    <s v="Ameritrade"/>
    <x v="20"/>
    <n v="10"/>
    <n v="403.23070000000001"/>
    <n v="4032.3070000000002"/>
    <m/>
    <x v="1"/>
    <s v="Technology"/>
    <s v="NETFLIX, INC. (XNAS:NFLX)"/>
    <x v="1"/>
    <x v="0"/>
    <n v="0"/>
    <n v="43.525700000000001"/>
    <x v="0"/>
    <m/>
    <m/>
    <m/>
    <m/>
  </r>
  <r>
    <s v="USD"/>
    <s v="Lucas Cardona- US"/>
    <s v="Ameritrade"/>
    <x v="21"/>
    <n v="50"/>
    <n v="1.02"/>
    <n v="51"/>
    <m/>
    <x v="1"/>
    <s v="Technology"/>
    <s v="NIKOLA CORPORATION (XNAS:NKLA)"/>
    <x v="1"/>
    <x v="0"/>
    <n v="0"/>
    <n v="0"/>
    <x v="0"/>
    <m/>
    <m/>
    <m/>
    <m/>
  </r>
  <r>
    <s v="USD"/>
    <s v="Lucas Cardona- US"/>
    <s v="Ameritrade"/>
    <x v="22"/>
    <n v="45"/>
    <n v="214.49850000000001"/>
    <n v="9652.4325000000008"/>
    <m/>
    <x v="1"/>
    <s v="Technology"/>
    <s v="TESLA, INC. (XNAS:TSLA)"/>
    <x v="1"/>
    <x v="0"/>
    <n v="0"/>
    <n v="68.298199999999994"/>
    <x v="0"/>
    <m/>
    <m/>
    <m/>
    <m/>
  </r>
  <r>
    <s v="USD"/>
    <s v="Lucas Cardona- US"/>
    <s v="Ameritrade"/>
    <x v="23"/>
    <n v="10"/>
    <n v="53.29"/>
    <n v="532.9"/>
    <m/>
    <x v="1"/>
    <s v="Technology"/>
    <s v="TWILIO INC. (XNYS:TWLO)"/>
    <x v="1"/>
    <x v="0"/>
    <n v="0"/>
    <s v="#FIELD!"/>
    <x v="0"/>
    <m/>
    <m/>
    <m/>
    <m/>
  </r>
  <r>
    <s v="USD"/>
    <s v="Lucas Cardona- US"/>
    <s v="Ameritrade"/>
    <x v="24"/>
    <n v="75000"/>
    <n v="9.9999999999999995E-7"/>
    <n v="7.4999999999999997E-2"/>
    <m/>
    <x v="1"/>
    <s v="Technology"/>
    <s v="US ENERGY INITIATIVES CORPORATION INC. (OTCM:USEI)"/>
    <x v="1"/>
    <x v="0"/>
    <n v="0"/>
    <n v="0"/>
    <x v="0"/>
    <m/>
    <m/>
    <m/>
    <m/>
  </r>
  <r>
    <s v="COP"/>
    <s v="Luca Financial SaS"/>
    <s v="Corredores"/>
    <x v="25"/>
    <n v="12553"/>
    <n v="13633.329117342468"/>
    <n v="40529.337472173538"/>
    <m/>
    <x v="1"/>
    <s v="Real State"/>
    <s v="Colombia"/>
    <x v="0"/>
    <x v="1"/>
    <m/>
    <m/>
    <x v="0"/>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s v="UF Ventures"/>
    <x v="0"/>
    <x v="0"/>
    <n v="148000"/>
    <n v="139.44"/>
    <n v="135079.6"/>
    <d v="2026-05-12T00:00:00"/>
    <x v="0"/>
    <x v="0"/>
    <s v="Banco De Bogota"/>
    <x v="0"/>
    <x v="0"/>
    <n v="8.8999999999999996E-2"/>
    <m/>
    <m/>
    <m/>
    <m/>
    <m/>
    <m/>
  </r>
  <r>
    <x v="0"/>
    <s v="Lucas Cardona- US"/>
    <x v="1"/>
    <x v="1"/>
    <n v="3"/>
    <n v="34.055"/>
    <n v="102.16499999999999"/>
    <m/>
    <x v="0"/>
    <x v="1"/>
    <s v="FI-High Yield Corporate"/>
    <x v="1"/>
    <x v="0"/>
    <n v="6.0900000000000003E-2"/>
    <n v="16.420361247947454"/>
    <n v="1.5E-3"/>
    <m/>
    <m/>
    <m/>
    <n v="0.15324749999999998"/>
  </r>
  <r>
    <x v="0"/>
    <s v="Lucas Cardona- US"/>
    <x v="1"/>
    <x v="2"/>
    <n v="5"/>
    <n v="47.219900000000003"/>
    <n v="236.09950000000001"/>
    <m/>
    <x v="0"/>
    <x v="2"/>
    <s v="FI-Investment Grade Corporate"/>
    <x v="1"/>
    <x v="0"/>
    <n v="2.9700000000000001E-2"/>
    <n v="33.670033670033668"/>
    <n v="4.0000000000000002E-4"/>
    <m/>
    <m/>
    <m/>
    <n v="9.4439800000000004E-2"/>
  </r>
  <r>
    <x v="0"/>
    <s v="Lucas Cardona- US"/>
    <x v="1"/>
    <x v="3"/>
    <n v="4"/>
    <n v="102.8781"/>
    <n v="411.51240000000001"/>
    <m/>
    <x v="0"/>
    <x v="3"/>
    <s v="Fi-Muni "/>
    <x v="1"/>
    <x v="0"/>
    <n v="6.7000000000000002E-3"/>
    <n v="149.25373134328359"/>
    <n v="7.000000000000001E-4"/>
    <m/>
    <m/>
    <m/>
    <n v="0.28805868000000007"/>
  </r>
  <r>
    <x v="0"/>
    <s v="Lucas Cardona- US"/>
    <x v="1"/>
    <x v="4"/>
    <n v="15"/>
    <n v="102.58"/>
    <n v="1538.7"/>
    <m/>
    <x v="0"/>
    <x v="3"/>
    <s v="Fi-Muni "/>
    <x v="1"/>
    <x v="0"/>
    <n v="2.0199999999999999E-2"/>
    <n v="49.504950495049506"/>
    <m/>
    <m/>
    <m/>
    <m/>
    <m/>
  </r>
  <r>
    <x v="0"/>
    <s v="Lucas Cardona- US"/>
    <x v="1"/>
    <x v="5"/>
    <n v="7"/>
    <n v="49.93"/>
    <n v="349.51"/>
    <m/>
    <x v="0"/>
    <x v="3"/>
    <s v="Fi-Muni High Yield"/>
    <x v="1"/>
    <x v="0"/>
    <n v="4.0899999999999999E-2"/>
    <n v="24.449877750611247"/>
    <m/>
    <m/>
    <m/>
    <m/>
    <m/>
  </r>
  <r>
    <x v="0"/>
    <s v="Lucas Cardona- US"/>
    <x v="1"/>
    <x v="6"/>
    <n v="11"/>
    <n v="21.78"/>
    <n v="239.58"/>
    <m/>
    <x v="0"/>
    <x v="4"/>
    <s v="Fi-UST GOVT"/>
    <x v="1"/>
    <x v="0"/>
    <n v="1.3899999999999999E-2"/>
    <n v="71.942446043165475"/>
    <n v="5.0000000000000001E-4"/>
    <m/>
    <m/>
    <m/>
    <n v="0.11979000000000001"/>
  </r>
  <r>
    <x v="0"/>
    <s v="Lucas Cardona- US"/>
    <x v="1"/>
    <x v="7"/>
    <n v="31"/>
    <n v="94.174400000000006"/>
    <n v="2919.4064000000003"/>
    <m/>
    <x v="1"/>
    <x v="5"/>
    <s v="Equity-Growth SPX"/>
    <x v="1"/>
    <x v="0"/>
    <n v="0.01"/>
    <n v="20.350000000000001"/>
    <n v="4.0000000000000002E-4"/>
    <m/>
    <m/>
    <m/>
    <m/>
  </r>
  <r>
    <x v="0"/>
    <s v="Lucas Cardona- US"/>
    <x v="1"/>
    <x v="8"/>
    <n v="49"/>
    <n v="73.121300000000005"/>
    <n v="3582.9437000000003"/>
    <m/>
    <x v="1"/>
    <x v="5"/>
    <s v="Equity-Value SPX"/>
    <x v="1"/>
    <x v="0"/>
    <n v="2.4299999999999999E-2"/>
    <n v="15.38"/>
    <n v="4.0000000000000002E-4"/>
    <m/>
    <m/>
    <m/>
    <n v="1.4331774800000001"/>
  </r>
  <r>
    <x v="0"/>
    <s v="Lucas Cardona- US"/>
    <x v="1"/>
    <x v="9"/>
    <n v="19"/>
    <n v="37.875"/>
    <n v="719.625"/>
    <m/>
    <x v="1"/>
    <x v="6"/>
    <s v="Equity- Emerging Markets Indexed"/>
    <x v="2"/>
    <x v="0"/>
    <n v="3.95E-2"/>
    <n v="11.15"/>
    <n v="8.0000000000000004E-4"/>
    <m/>
    <m/>
    <m/>
    <n v="0.57569999999999999"/>
  </r>
  <r>
    <x v="0"/>
    <s v="Lucas Cardona- US"/>
    <x v="1"/>
    <x v="10"/>
    <n v="47"/>
    <n v="42.35"/>
    <n v="1990.45"/>
    <m/>
    <x v="1"/>
    <x v="7"/>
    <s v="Equity-Developed Markets Indexed"/>
    <x v="3"/>
    <x v="0"/>
    <n v="4.1300000000000003E-2"/>
    <n v="11.82"/>
    <n v="5.0000000000000001E-4"/>
    <m/>
    <m/>
    <m/>
    <n v="0.99522500000000003"/>
  </r>
  <r>
    <x v="0"/>
    <s v="Lucas Cardona- US"/>
    <x v="1"/>
    <x v="11"/>
    <n v="8"/>
    <n v="67.400000000000006"/>
    <n v="539.20000000000005"/>
    <m/>
    <x v="1"/>
    <x v="7"/>
    <s v="Equity-Developed Markets Indexed"/>
    <x v="3"/>
    <x v="0"/>
    <n v="1.6500000000000001E-2"/>
    <n v="11.79"/>
    <n v="1E-3"/>
    <m/>
    <m/>
    <m/>
    <n v="0.53920000000000001"/>
  </r>
  <r>
    <x v="0"/>
    <s v="Lucas Cardona- US"/>
    <x v="2"/>
    <x v="12"/>
    <m/>
    <m/>
    <n v="6694.84"/>
    <m/>
    <x v="2"/>
    <x v="8"/>
    <s v="Cash"/>
    <x v="1"/>
    <x v="0"/>
    <n v="0"/>
    <m/>
    <m/>
    <m/>
    <m/>
    <m/>
    <m/>
  </r>
  <r>
    <x v="0"/>
    <s v="Lucas Cardona- US"/>
    <x v="1"/>
    <x v="13"/>
    <m/>
    <m/>
    <n v="845"/>
    <m/>
    <x v="2"/>
    <x v="8"/>
    <s v="Cash"/>
    <x v="1"/>
    <x v="0"/>
    <m/>
    <m/>
    <m/>
    <m/>
    <m/>
    <m/>
    <m/>
  </r>
  <r>
    <x v="0"/>
    <s v="Lucas Cardona- US"/>
    <x v="2"/>
    <x v="14"/>
    <n v="150000"/>
    <n v="4.0000000000000001E-3"/>
    <n v="600"/>
    <m/>
    <x v="1"/>
    <x v="9"/>
    <s v="88 ENERGY LIMITED (OTCM:EEENF)"/>
    <x v="1"/>
    <x v="0"/>
    <n v="0"/>
    <n v="0"/>
    <m/>
    <m/>
    <m/>
    <m/>
    <m/>
  </r>
  <r>
    <x v="0"/>
    <s v="Lucas Cardona- US"/>
    <x v="2"/>
    <x v="15"/>
    <n v="100"/>
    <n v="127.395"/>
    <n v="12739.5"/>
    <m/>
    <x v="1"/>
    <x v="9"/>
    <s v="AMAZON.COM, INC. (XNAS:AMZN)"/>
    <x v="1"/>
    <x v="0"/>
    <n v="0"/>
    <n v="99.519000000000005"/>
    <m/>
    <m/>
    <m/>
    <m/>
    <m/>
  </r>
  <r>
    <x v="0"/>
    <s v="Lucas Cardona- US"/>
    <x v="2"/>
    <x v="16"/>
    <n v="7"/>
    <n v="182.55"/>
    <n v="1277.8500000000001"/>
    <m/>
    <x v="1"/>
    <x v="10"/>
    <s v="THE BOEING COMPANY (XNYS:BA)"/>
    <x v="1"/>
    <x v="0"/>
    <n v="0"/>
    <s v="#FIELD!"/>
    <m/>
    <m/>
    <m/>
    <m/>
    <m/>
  </r>
  <r>
    <x v="0"/>
    <s v="Lucas Cardona- US"/>
    <x v="2"/>
    <x v="17"/>
    <n v="10"/>
    <n v="40.25"/>
    <n v="402.5"/>
    <m/>
    <x v="1"/>
    <x v="9"/>
    <s v="DOCUSIGN, INC. (XNAS:DOCU)"/>
    <x v="1"/>
    <x v="0"/>
    <n v="0"/>
    <n v="0"/>
    <m/>
    <m/>
    <m/>
    <m/>
    <m/>
  </r>
  <r>
    <x v="0"/>
    <s v="Lucas Cardona- US"/>
    <x v="2"/>
    <x v="18"/>
    <n v="120"/>
    <n v="24.34"/>
    <n v="2920.8"/>
    <m/>
    <x v="1"/>
    <x v="9"/>
    <s v="GRAYSCALE BITCOIN TRUST (BTC) (OTCM:GBTC)"/>
    <x v="1"/>
    <x v="0"/>
    <n v="0"/>
    <n v="2.3593999999999999"/>
    <m/>
    <m/>
    <m/>
    <m/>
    <m/>
  </r>
  <r>
    <x v="0"/>
    <s v="Lucas Cardona- US"/>
    <x v="2"/>
    <x v="19"/>
    <n v="15"/>
    <n v="331.66"/>
    <n v="4974.9000000000005"/>
    <m/>
    <x v="1"/>
    <x v="9"/>
    <s v="MICROSOFT CORPORATION (XNAS:MSFT)"/>
    <x v="1"/>
    <x v="0"/>
    <n v="2.7199999999999998E-2"/>
    <n v="33.730600000000003"/>
    <m/>
    <m/>
    <m/>
    <m/>
    <m/>
  </r>
  <r>
    <x v="0"/>
    <s v="Lucas Cardona- US"/>
    <x v="2"/>
    <x v="20"/>
    <n v="10"/>
    <n v="403.26"/>
    <n v="4032.6"/>
    <m/>
    <x v="1"/>
    <x v="9"/>
    <s v="NETFLIX, INC. (XNAS:NFLX)"/>
    <x v="1"/>
    <x v="0"/>
    <n v="0"/>
    <n v="43.525700000000001"/>
    <m/>
    <m/>
    <m/>
    <m/>
    <m/>
  </r>
  <r>
    <x v="0"/>
    <s v="Lucas Cardona- US"/>
    <x v="2"/>
    <x v="21"/>
    <n v="50"/>
    <n v="1.03"/>
    <n v="51.5"/>
    <m/>
    <x v="1"/>
    <x v="9"/>
    <s v="NIKOLA CORPORATION (XNAS:NKLA)"/>
    <x v="1"/>
    <x v="0"/>
    <n v="0"/>
    <n v="0"/>
    <m/>
    <m/>
    <m/>
    <m/>
    <m/>
  </r>
  <r>
    <x v="0"/>
    <s v="Lucas Cardona- US"/>
    <x v="2"/>
    <x v="22"/>
    <n v="45"/>
    <n v="213.41"/>
    <n v="9603.4500000000007"/>
    <m/>
    <x v="1"/>
    <x v="9"/>
    <s v="TESLA, INC. (XNAS:TSLA)"/>
    <x v="1"/>
    <x v="0"/>
    <n v="0"/>
    <n v="68.298199999999994"/>
    <m/>
    <m/>
    <m/>
    <m/>
    <m/>
  </r>
  <r>
    <x v="0"/>
    <s v="Lucas Cardona- US"/>
    <x v="2"/>
    <x v="23"/>
    <n v="10"/>
    <n v="53.1"/>
    <n v="531"/>
    <m/>
    <x v="1"/>
    <x v="9"/>
    <s v="TWILIO INC. (XNYS:TWLO)"/>
    <x v="1"/>
    <x v="0"/>
    <n v="0"/>
    <s v="#FIELD!"/>
    <m/>
    <m/>
    <m/>
    <m/>
    <m/>
  </r>
  <r>
    <x v="0"/>
    <s v="Lucas Cardona- US"/>
    <x v="2"/>
    <x v="24"/>
    <n v="75000"/>
    <n v="9.9999999999999995E-7"/>
    <n v="7.4999999999999997E-2"/>
    <m/>
    <x v="1"/>
    <x v="9"/>
    <s v="US ENERGY INITIATIVES CORPORATION INC. (OTCM:USEI)"/>
    <x v="1"/>
    <x v="0"/>
    <n v="0"/>
    <n v="0"/>
    <m/>
    <m/>
    <m/>
    <m/>
    <m/>
  </r>
  <r>
    <x v="1"/>
    <s v="Luca Financial SaS"/>
    <x v="0"/>
    <x v="25"/>
    <n v="12553"/>
    <n v="13633.329117342468"/>
    <n v="40477.764892454557"/>
    <m/>
    <x v="1"/>
    <x v="11"/>
    <s v="Colombia"/>
    <x v="0"/>
    <x v="1"/>
    <m/>
    <m/>
    <m/>
    <m/>
    <m/>
    <m/>
    <m/>
  </r>
  <r>
    <x v="1"/>
    <s v="Lucas Cardona Arboleda- Colombia"/>
    <x v="0"/>
    <x v="26"/>
    <n v="250000000"/>
    <n v="0.93276879999999995"/>
    <n v="55154.518233293449"/>
    <d v="2029-02-27T00:00:00"/>
    <x v="0"/>
    <x v="12"/>
    <s v="BACOLOMBIA"/>
    <x v="0"/>
    <x v="0"/>
    <n v="0.1825"/>
    <m/>
    <m/>
    <m/>
    <m/>
    <m/>
    <m/>
  </r>
  <r>
    <x v="1"/>
    <s v="Lucas Cardona Arboleda- Colombia"/>
    <x v="0"/>
    <x v="26"/>
    <n v="85000000"/>
    <n v="1.1254204000000001"/>
    <n v="22625.63540981746"/>
    <d v="2037-09-28T00:00:00"/>
    <x v="0"/>
    <x v="12"/>
    <s v="BACOLOMBIA"/>
    <x v="0"/>
    <x v="0"/>
    <n v="0.18090000000000001"/>
    <n v="5.5279159756771694"/>
    <m/>
    <m/>
    <m/>
    <m/>
    <m/>
  </r>
  <r>
    <x v="1"/>
    <s v="Luca Financial SaS"/>
    <x v="0"/>
    <x v="26"/>
    <n v="250000000"/>
    <n v="0.94531560000000003"/>
    <n v="55896.409159929804"/>
    <d v="2029-02-27T00:00:00"/>
    <x v="0"/>
    <x v="12"/>
    <s v="BACOLOMBIA"/>
    <x v="0"/>
    <x v="0"/>
    <n v="0.12"/>
    <m/>
    <m/>
    <m/>
    <m/>
    <m/>
    <m/>
  </r>
  <r>
    <x v="1"/>
    <s v="UF Ventures"/>
    <x v="0"/>
    <x v="27"/>
    <n v="71.7"/>
    <n v="22467"/>
    <n v="381.00556294022209"/>
    <m/>
    <x v="0"/>
    <x v="13"/>
    <s v="Colombia"/>
    <x v="0"/>
    <x v="1"/>
    <n v="12"/>
    <m/>
    <m/>
    <m/>
    <m/>
    <m/>
    <m/>
  </r>
  <r>
    <x v="1"/>
    <s v="Lucas Cardona Arboleda- Colombia"/>
    <x v="0"/>
    <x v="28"/>
    <n v="275.62"/>
    <n v="8839"/>
    <n v="576.24189565702773"/>
    <m/>
    <x v="1"/>
    <x v="13"/>
    <s v="Colombia"/>
    <x v="0"/>
    <x v="2"/>
    <m/>
    <m/>
    <m/>
    <m/>
    <m/>
    <m/>
    <m/>
  </r>
  <r>
    <x v="1"/>
    <s v="Lucas Cardona Arboleda- Colombia"/>
    <x v="0"/>
    <x v="27"/>
    <n v="885.5"/>
    <n v="22466"/>
    <n v="4705.2358336605193"/>
    <m/>
    <x v="0"/>
    <x v="13"/>
    <s v="Colombia"/>
    <x v="0"/>
    <x v="1"/>
    <n v="12"/>
    <m/>
    <m/>
    <m/>
    <m/>
    <m/>
    <m/>
  </r>
  <r>
    <x v="1"/>
    <s v="Luca Financial SaS"/>
    <x v="0"/>
    <x v="27"/>
    <n v="275.5"/>
    <n v="22466"/>
    <n v="1463.9101887899187"/>
    <m/>
    <x v="0"/>
    <x v="13"/>
    <s v="Colombia"/>
    <x v="0"/>
    <x v="1"/>
    <n v="12"/>
    <m/>
    <m/>
    <m/>
    <m/>
    <m/>
    <m/>
  </r>
  <r>
    <x v="0"/>
    <s v="PXG002885"/>
    <x v="0"/>
    <x v="12"/>
    <n v="3283.27"/>
    <m/>
    <n v="3283.27"/>
    <m/>
    <x v="2"/>
    <x v="8"/>
    <s v="Cash"/>
    <x v="1"/>
    <x v="3"/>
    <m/>
    <m/>
    <m/>
    <m/>
    <m/>
    <m/>
    <m/>
  </r>
  <r>
    <x v="0"/>
    <s v="PXG002885"/>
    <x v="0"/>
    <x v="29"/>
    <n v="41000"/>
    <n v="0.69"/>
    <n v="28290"/>
    <d v="3000-01-01T00:00:00"/>
    <x v="0"/>
    <x v="14"/>
    <s v="DAVIVIENDA"/>
    <x v="0"/>
    <x v="3"/>
    <n v="0.11"/>
    <m/>
    <m/>
    <m/>
    <m/>
    <m/>
    <m/>
  </r>
  <r>
    <x v="0"/>
    <s v="Luca Financial SaS"/>
    <x v="0"/>
    <x v="29"/>
    <n v="144000"/>
    <n v="0.69"/>
    <n v="99360"/>
    <d v="3000-01-01T00:00:00"/>
    <x v="0"/>
    <x v="14"/>
    <s v="DAVIVIENDA"/>
    <x v="0"/>
    <x v="3"/>
    <n v="0.11"/>
    <m/>
    <m/>
    <m/>
    <m/>
    <m/>
    <m/>
  </r>
  <r>
    <x v="0"/>
    <s v="UF Ventures"/>
    <x v="0"/>
    <x v="29"/>
    <n v="15000"/>
    <n v="0.69"/>
    <n v="10350"/>
    <d v="3000-01-01T00:00:00"/>
    <x v="0"/>
    <x v="14"/>
    <s v="DAVIVIENDA"/>
    <x v="0"/>
    <x v="3"/>
    <n v="0.11"/>
    <m/>
    <m/>
    <m/>
    <m/>
    <m/>
    <m/>
  </r>
  <r>
    <x v="0"/>
    <s v="Luca Financial SaS"/>
    <x v="0"/>
    <x v="12"/>
    <n v="1280.81"/>
    <m/>
    <n v="1280.81"/>
    <m/>
    <x v="2"/>
    <x v="8"/>
    <s v="Cash"/>
    <x v="1"/>
    <x v="0"/>
    <m/>
    <m/>
    <m/>
    <m/>
    <m/>
    <m/>
    <m/>
  </r>
  <r>
    <x v="0"/>
    <s v="Cardonas LLC"/>
    <x v="1"/>
    <x v="12"/>
    <m/>
    <m/>
    <n v="62107"/>
    <m/>
    <x v="2"/>
    <x v="8"/>
    <s v="Cash"/>
    <x v="1"/>
    <x v="0"/>
    <n v="0"/>
    <m/>
    <m/>
    <m/>
    <m/>
    <m/>
    <m/>
  </r>
  <r>
    <x v="0"/>
    <s v="Cardonas LLC"/>
    <x v="1"/>
    <x v="30"/>
    <n v="500000"/>
    <n v="98.787599999999998"/>
    <n v="493938"/>
    <d v="2023-12-21T00:00:00"/>
    <x v="0"/>
    <x v="4"/>
    <s v="Fi-UST GOVT"/>
    <x v="1"/>
    <x v="0"/>
    <n v="5.2600000000000001E-2"/>
    <m/>
    <m/>
    <m/>
    <m/>
    <m/>
    <m/>
  </r>
  <r>
    <x v="1"/>
    <s v="FIYO SAS"/>
    <x v="0"/>
    <x v="31"/>
    <n v="6393"/>
    <n v="1799"/>
    <n v="2720.2131987379321"/>
    <m/>
    <x v="1"/>
    <x v="13"/>
    <s v="Colombia"/>
    <x v="0"/>
    <x v="3"/>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EDEE4A-723F-4F8C-AF5D-E16DAE0D6E5D}"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5" firstHeaderRow="1" firstDataRow="1" firstDataCol="1"/>
  <pivotFields count="20">
    <pivotField showAll="0"/>
    <pivotField showAll="0"/>
    <pivotField showAll="0"/>
    <pivotField showAll="0"/>
    <pivotField showAll="0"/>
    <pivotField showAll="0"/>
    <pivotField dataField="1" numFmtId="165" showAll="0"/>
    <pivotField showAll="0"/>
    <pivotField axis="axisRow" showAll="0">
      <items count="4">
        <item x="2"/>
        <item x="1"/>
        <item x="0"/>
        <item t="default"/>
      </items>
    </pivotField>
    <pivotField showAll="0"/>
    <pivotField showAll="0"/>
    <pivotField axis="axisRow" showAll="0">
      <items count="5">
        <item x="0"/>
        <item x="3"/>
        <item x="2"/>
        <item x="1"/>
        <item t="default"/>
      </items>
    </pivotField>
    <pivotField showAll="0"/>
    <pivotField showAll="0"/>
    <pivotField showAll="0"/>
    <pivotField showAll="0"/>
    <pivotField showAll="0"/>
    <pivotField showAll="0"/>
    <pivotField showAll="0"/>
    <pivotField showAll="0"/>
  </pivotFields>
  <rowFields count="2">
    <field x="11"/>
    <field x="8"/>
  </rowFields>
  <rowItems count="12">
    <i>
      <x/>
    </i>
    <i r="1">
      <x v="1"/>
    </i>
    <i r="1">
      <x v="2"/>
    </i>
    <i>
      <x v="1"/>
    </i>
    <i r="1">
      <x v="1"/>
    </i>
    <i>
      <x v="2"/>
    </i>
    <i r="1">
      <x v="1"/>
    </i>
    <i>
      <x v="3"/>
    </i>
    <i r="1">
      <x/>
    </i>
    <i r="1">
      <x v="1"/>
    </i>
    <i r="1">
      <x v="2"/>
    </i>
    <i t="grand">
      <x/>
    </i>
  </rowItems>
  <colItems count="1">
    <i/>
  </colItems>
  <dataFields count="1">
    <dataField name="Sum of Market Value" fld="6" baseField="0" baseItem="0" numFmtId="165"/>
  </dataFields>
  <formats count="5">
    <format dxfId="40">
      <pivotArea type="all" dataOnly="0" outline="0" fieldPosition="0"/>
    </format>
    <format dxfId="39">
      <pivotArea outline="0" collapsedLevelsAreSubtotals="1" fieldPosition="0"/>
    </format>
    <format dxfId="38">
      <pivotArea field="11" type="button" dataOnly="0" labelOnly="1" outline="0" axis="axisRow" fieldPosition="0"/>
    </format>
    <format dxfId="37">
      <pivotArea dataOnly="0" labelOnly="1" grandRow="1" outline="0" fieldPosition="0"/>
    </format>
    <format dxfId="3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8" count="1" selected="0">
            <x v="0"/>
          </reference>
        </references>
      </pivotArea>
    </chartFormat>
    <chartFormat chart="0" format="10">
      <pivotArea type="data" outline="0" fieldPosition="0">
        <references count="2">
          <reference field="4294967294" count="1" selected="0">
            <x v="0"/>
          </reference>
          <reference field="8" count="1" selected="0">
            <x v="1"/>
          </reference>
        </references>
      </pivotArea>
    </chartFormat>
    <chartFormat chart="0" format="11">
      <pivotArea type="data" outline="0" fieldPosition="0">
        <references count="2">
          <reference field="4294967294" count="1" selected="0">
            <x v="0"/>
          </reference>
          <reference field="8" count="1" selected="0">
            <x v="2"/>
          </reference>
        </references>
      </pivotArea>
    </chartFormat>
    <chartFormat chart="0" format="14">
      <pivotArea type="data" outline="0" fieldPosition="0">
        <references count="3">
          <reference field="4294967294" count="1" selected="0">
            <x v="0"/>
          </reference>
          <reference field="8" count="1" selected="0">
            <x v="2"/>
          </reference>
          <reference field="11" count="1" selected="0">
            <x v="0"/>
          </reference>
        </references>
      </pivotArea>
    </chartFormat>
    <chartFormat chart="0" format="15">
      <pivotArea type="data" outline="0" fieldPosition="0">
        <references count="3">
          <reference field="4294967294" count="1" selected="0">
            <x v="0"/>
          </reference>
          <reference field="8" count="1" selected="0">
            <x v="1"/>
          </reference>
          <reference field="11" count="1" selected="0">
            <x v="1"/>
          </reference>
        </references>
      </pivotArea>
    </chartFormat>
    <chartFormat chart="0" format="16">
      <pivotArea type="data" outline="0" fieldPosition="0">
        <references count="3">
          <reference field="4294967294" count="1" selected="0">
            <x v="0"/>
          </reference>
          <reference field="8" count="1" selected="0">
            <x v="1"/>
          </reference>
          <reference field="11" count="1" selected="0">
            <x v="2"/>
          </reference>
        </references>
      </pivotArea>
    </chartFormat>
    <chartFormat chart="0" format="18">
      <pivotArea type="data" outline="0" fieldPosition="0">
        <references count="3">
          <reference field="4294967294" count="1" selected="0">
            <x v="0"/>
          </reference>
          <reference field="8" count="1" selected="0">
            <x v="1"/>
          </reference>
          <reference field="11" count="1" selected="0">
            <x v="3"/>
          </reference>
        </references>
      </pivotArea>
    </chartFormat>
    <chartFormat chart="0" format="19">
      <pivotArea type="data" outline="0" fieldPosition="0">
        <references count="3">
          <reference field="4294967294" count="1" selected="0">
            <x v="0"/>
          </reference>
          <reference field="8" count="1" selected="0">
            <x v="2"/>
          </reference>
          <reference field="11" count="1" selected="0">
            <x v="3"/>
          </reference>
        </references>
      </pivotArea>
    </chartFormat>
    <chartFormat chart="0" format="20">
      <pivotArea type="data" outline="0" fieldPosition="0">
        <references count="3">
          <reference field="4294967294" count="1" selected="0">
            <x v="0"/>
          </reference>
          <reference field="8" count="1" selected="0">
            <x v="0"/>
          </reference>
          <reference field="11" count="1" selected="0">
            <x v="0"/>
          </reference>
        </references>
      </pivotArea>
    </chartFormat>
    <chartFormat chart="0" format="21">
      <pivotArea type="data" outline="0" fieldPosition="0">
        <references count="3">
          <reference field="4294967294" count="1" selected="0">
            <x v="0"/>
          </reference>
          <reference field="8" count="1" selected="0">
            <x v="0"/>
          </reference>
          <reference field="11" count="1" selected="0">
            <x v="3"/>
          </reference>
        </references>
      </pivotArea>
    </chartFormat>
    <chartFormat chart="0" format="23">
      <pivotArea type="data" outline="0" fieldPosition="0">
        <references count="3">
          <reference field="4294967294" count="1" selected="0">
            <x v="0"/>
          </reference>
          <reference field="8" count="1" selected="0">
            <x v="1"/>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09DADC-3E51-4DAE-BB53-9F0A6F9DA832}"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rowPageCount="1" colPageCount="1"/>
  <pivotFields count="20">
    <pivotField showAll="0"/>
    <pivotField showAll="0"/>
    <pivotField showAll="0"/>
    <pivotField showAll="0"/>
    <pivotField showAll="0"/>
    <pivotField showAll="0"/>
    <pivotField dataField="1" numFmtId="165" showAll="0"/>
    <pivotField showAll="0"/>
    <pivotField axis="axisPage" showAll="0">
      <items count="4">
        <item h="1" x="2"/>
        <item h="1" x="1"/>
        <item x="0"/>
        <item t="default"/>
      </items>
    </pivotField>
    <pivotField axis="axisRow" showAll="0">
      <items count="17">
        <item x="10"/>
        <item x="0"/>
        <item x="8"/>
        <item x="7"/>
        <item x="6"/>
        <item x="4"/>
        <item x="5"/>
        <item x="1"/>
        <item x="2"/>
        <item x="3"/>
        <item x="9"/>
        <item x="11"/>
        <item x="12"/>
        <item x="13"/>
        <item m="1" x="15"/>
        <item x="14"/>
        <item t="default"/>
      </items>
    </pivotField>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s>
  <rowFields count="1">
    <field x="9"/>
  </rowFields>
  <rowItems count="9">
    <i>
      <x v="1"/>
    </i>
    <i>
      <x v="5"/>
    </i>
    <i>
      <x v="7"/>
    </i>
    <i>
      <x v="8"/>
    </i>
    <i>
      <x v="9"/>
    </i>
    <i>
      <x v="12"/>
    </i>
    <i>
      <x v="13"/>
    </i>
    <i>
      <x v="15"/>
    </i>
    <i t="grand">
      <x/>
    </i>
  </rowItems>
  <colItems count="1">
    <i/>
  </colItems>
  <pageFields count="1">
    <pageField fld="8" item="2" hier="-1"/>
  </pageFields>
  <dataFields count="1">
    <dataField name="Sum of Market Value" fld="6" baseField="0" baseItem="0" numFmtId="165"/>
  </dataFields>
  <formats count="5">
    <format dxfId="35">
      <pivotArea type="all" dataOnly="0" outline="0" fieldPosition="0"/>
    </format>
    <format dxfId="34">
      <pivotArea outline="0" collapsedLevelsAreSubtotals="1" fieldPosition="0"/>
    </format>
    <format dxfId="33">
      <pivotArea field="11" type="button" dataOnly="0" labelOnly="1" outline="0"/>
    </format>
    <format dxfId="32">
      <pivotArea dataOnly="0" labelOnly="1" grandRow="1" outline="0" fieldPosition="0"/>
    </format>
    <format dxfId="31">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1" format="13" series="1">
      <pivotArea type="data" outline="0" fieldPosition="0">
        <references count="1">
          <reference field="4294967294" count="1" selected="0">
            <x v="0"/>
          </reference>
        </references>
      </pivotArea>
    </chartFormat>
    <chartFormat chart="1" format="24">
      <pivotArea type="data" outline="0" fieldPosition="0">
        <references count="2">
          <reference field="4294967294" count="1" selected="0">
            <x v="0"/>
          </reference>
          <reference field="9" count="1" selected="0">
            <x v="0"/>
          </reference>
        </references>
      </pivotArea>
    </chartFormat>
    <chartFormat chart="1" format="25">
      <pivotArea type="data" outline="0" fieldPosition="0">
        <references count="2">
          <reference field="4294967294" count="1" selected="0">
            <x v="0"/>
          </reference>
          <reference field="9" count="1" selected="0">
            <x v="3"/>
          </reference>
        </references>
      </pivotArea>
    </chartFormat>
    <chartFormat chart="1" format="26">
      <pivotArea type="data" outline="0" fieldPosition="0">
        <references count="2">
          <reference field="4294967294" count="1" selected="0">
            <x v="0"/>
          </reference>
          <reference field="9" count="1" selected="0">
            <x v="4"/>
          </reference>
        </references>
      </pivotArea>
    </chartFormat>
    <chartFormat chart="1" format="28">
      <pivotArea type="data" outline="0" fieldPosition="0">
        <references count="2">
          <reference field="4294967294" count="1" selected="0">
            <x v="0"/>
          </reference>
          <reference field="9" count="1" selected="0">
            <x v="6"/>
          </reference>
        </references>
      </pivotArea>
    </chartFormat>
    <chartFormat chart="1" format="30">
      <pivotArea type="data" outline="0" fieldPosition="0">
        <references count="2">
          <reference field="4294967294" count="1" selected="0">
            <x v="0"/>
          </reference>
          <reference field="9" count="1" selected="0">
            <x v="10"/>
          </reference>
        </references>
      </pivotArea>
    </chartFormat>
    <chartFormat chart="1" format="31">
      <pivotArea type="data" outline="0" fieldPosition="0">
        <references count="2">
          <reference field="4294967294" count="1" selected="0">
            <x v="0"/>
          </reference>
          <reference field="9" count="1" selected="0">
            <x v="1"/>
          </reference>
        </references>
      </pivotArea>
    </chartFormat>
    <chartFormat chart="1" format="32">
      <pivotArea type="data" outline="0" fieldPosition="0">
        <references count="2">
          <reference field="4294967294" count="1" selected="0">
            <x v="0"/>
          </reference>
          <reference field="9" count="1" selected="0">
            <x v="5"/>
          </reference>
        </references>
      </pivotArea>
    </chartFormat>
    <chartFormat chart="1" format="33">
      <pivotArea type="data" outline="0" fieldPosition="0">
        <references count="2">
          <reference field="4294967294" count="1" selected="0">
            <x v="0"/>
          </reference>
          <reference field="9" count="1" selected="0">
            <x v="7"/>
          </reference>
        </references>
      </pivotArea>
    </chartFormat>
    <chartFormat chart="1" format="34">
      <pivotArea type="data" outline="0" fieldPosition="0">
        <references count="2">
          <reference field="4294967294" count="1" selected="0">
            <x v="0"/>
          </reference>
          <reference field="9" count="1" selected="0">
            <x v="8"/>
          </reference>
        </references>
      </pivotArea>
    </chartFormat>
    <chartFormat chart="1" format="35">
      <pivotArea type="data" outline="0" fieldPosition="0">
        <references count="2">
          <reference field="4294967294" count="1" selected="0">
            <x v="0"/>
          </reference>
          <reference field="9" count="1" selected="0">
            <x v="9"/>
          </reference>
        </references>
      </pivotArea>
    </chartFormat>
    <chartFormat chart="1" format="36">
      <pivotArea type="data" outline="0" fieldPosition="0">
        <references count="2">
          <reference field="4294967294" count="1" selected="0">
            <x v="0"/>
          </reference>
          <reference field="9" count="1" selected="0">
            <x v="12"/>
          </reference>
        </references>
      </pivotArea>
    </chartFormat>
    <chartFormat chart="1" format="37">
      <pivotArea type="data" outline="0" fieldPosition="0">
        <references count="2">
          <reference field="4294967294" count="1" selected="0">
            <x v="0"/>
          </reference>
          <reference field="9" count="1" selected="0">
            <x v="13"/>
          </reference>
        </references>
      </pivotArea>
    </chartFormat>
    <chartFormat chart="1" format="38">
      <pivotArea type="data" outline="0" fieldPosition="0">
        <references count="2">
          <reference field="4294967294" count="1" selected="0">
            <x v="0"/>
          </reference>
          <reference field="9"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C7D706-0DEE-4735-A6A0-98C18DE47B15}"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rowPageCount="1" colPageCount="1"/>
  <pivotFields count="20">
    <pivotField axis="axisRow" showAll="0">
      <items count="3">
        <item x="1"/>
        <item x="0"/>
        <item t="default"/>
      </items>
    </pivotField>
    <pivotField showAll="0"/>
    <pivotField showAll="0"/>
    <pivotField showAll="0"/>
    <pivotField showAll="0"/>
    <pivotField showAll="0"/>
    <pivotField dataField="1" numFmtId="165" showAll="0"/>
    <pivotField showAll="0"/>
    <pivotField axis="axisPage" showAll="0">
      <items count="4">
        <item x="2"/>
        <item x="1"/>
        <item x="0"/>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pageFields count="1">
    <pageField fld="8" hier="-1"/>
  </pageFields>
  <dataFields count="1">
    <dataField name="Sum of Market Value" fld="6" baseField="0" baseItem="0" numFmtId="165"/>
  </dataFields>
  <formats count="5">
    <format dxfId="30">
      <pivotArea type="all" dataOnly="0" outline="0" fieldPosition="0"/>
    </format>
    <format dxfId="29">
      <pivotArea outline="0" collapsedLevelsAreSubtotals="1" fieldPosition="0"/>
    </format>
    <format dxfId="28">
      <pivotArea field="11" type="button" dataOnly="0" labelOnly="1" outline="0"/>
    </format>
    <format dxfId="27">
      <pivotArea dataOnly="0" labelOnly="1" grandRow="1" outline="0" fieldPosition="0"/>
    </format>
    <format dxfId="2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3" series="1">
      <pivotArea type="data" outline="0" fieldPosition="0">
        <references count="1">
          <reference field="4294967294" count="1" selected="0">
            <x v="0"/>
          </reference>
        </references>
      </pivotArea>
    </chartFormat>
    <chartFormat chart="2" format="24" series="1">
      <pivotArea type="data" outline="0" fieldPosition="0">
        <references count="1">
          <reference field="4294967294" count="1" selected="0">
            <x v="0"/>
          </reference>
        </references>
      </pivotArea>
    </chartFormat>
    <chartFormat chart="2" format="41">
      <pivotArea type="data" outline="0" fieldPosition="0">
        <references count="2">
          <reference field="4294967294" count="1" selected="0">
            <x v="0"/>
          </reference>
          <reference field="0" count="1" selected="0">
            <x v="0"/>
          </reference>
        </references>
      </pivotArea>
    </chartFormat>
    <chartFormat chart="2" format="4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9A580E-B0EE-491D-AB07-7F756AFCA655}"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rowPageCount="1" colPageCount="1"/>
  <pivotFields count="20">
    <pivotField showAll="0"/>
    <pivotField showAll="0"/>
    <pivotField axis="axisRow" showAll="0">
      <items count="4">
        <item x="2"/>
        <item x="0"/>
        <item x="1"/>
        <item t="default"/>
      </items>
    </pivotField>
    <pivotField showAll="0"/>
    <pivotField showAll="0"/>
    <pivotField showAll="0"/>
    <pivotField dataField="1" numFmtId="165" showAll="0"/>
    <pivotField showAll="0"/>
    <pivotField axis="axisPage" showAll="0">
      <items count="4">
        <item x="2"/>
        <item x="1"/>
        <item x="0"/>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pageFields count="1">
    <pageField fld="8" hier="-1"/>
  </pageFields>
  <dataFields count="1">
    <dataField name="Sum of Market Value" fld="6" baseField="0" baseItem="0" numFmtId="165"/>
  </dataFields>
  <formats count="5">
    <format dxfId="25">
      <pivotArea type="all" dataOnly="0" outline="0" fieldPosition="0"/>
    </format>
    <format dxfId="24">
      <pivotArea outline="0" collapsedLevelsAreSubtotals="1" fieldPosition="0"/>
    </format>
    <format dxfId="23">
      <pivotArea field="11" type="button" dataOnly="0" labelOnly="1" outline="0"/>
    </format>
    <format dxfId="22">
      <pivotArea dataOnly="0" labelOnly="1" grandRow="1" outline="0" fieldPosition="0"/>
    </format>
    <format dxfId="21">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13" series="1">
      <pivotArea type="data" outline="0" fieldPosition="0">
        <references count="1">
          <reference field="4294967294" count="1" selected="0">
            <x v="0"/>
          </reference>
        </references>
      </pivotArea>
    </chartFormat>
    <chartFormat chart="2" format="24" series="1">
      <pivotArea type="data" outline="0" fieldPosition="0">
        <references count="1">
          <reference field="4294967294" count="1" selected="0">
            <x v="0"/>
          </reference>
        </references>
      </pivotArea>
    </chartFormat>
    <chartFormat chart="3" format="41" series="1">
      <pivotArea type="data" outline="0" fieldPosition="0">
        <references count="1">
          <reference field="4294967294" count="1" selected="0">
            <x v="0"/>
          </reference>
        </references>
      </pivotArea>
    </chartFormat>
    <chartFormat chart="3" format="44">
      <pivotArea type="data" outline="0" fieldPosition="0">
        <references count="2">
          <reference field="4294967294" count="1" selected="0">
            <x v="0"/>
          </reference>
          <reference field="2" count="1" selected="0">
            <x v="0"/>
          </reference>
        </references>
      </pivotArea>
    </chartFormat>
    <chartFormat chart="3" format="45">
      <pivotArea type="data" outline="0" fieldPosition="0">
        <references count="2">
          <reference field="4294967294" count="1" selected="0">
            <x v="0"/>
          </reference>
          <reference field="2" count="1" selected="0">
            <x v="1"/>
          </reference>
        </references>
      </pivotArea>
    </chartFormat>
    <chartFormat chart="3" format="4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C0D765-CAA3-4BD1-BFF2-FDA5A42A1FC5}"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0">
    <pivotField showAll="0"/>
    <pivotField showAll="0"/>
    <pivotField showAll="0"/>
    <pivotField showAll="0"/>
    <pivotField showAll="0"/>
    <pivotField showAll="0"/>
    <pivotField dataField="1" numFmtId="165" showAll="0"/>
    <pivotField showAll="0"/>
    <pivotField axis="axisRow" showAll="0">
      <items count="4">
        <item x="2"/>
        <item x="1"/>
        <item x="0"/>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Market Value" fld="6" baseField="0" baseItem="0" numFmtId="165"/>
  </dataFields>
  <formats count="5">
    <format dxfId="20">
      <pivotArea type="all" dataOnly="0" outline="0" fieldPosition="0"/>
    </format>
    <format dxfId="19">
      <pivotArea outline="0" collapsedLevelsAreSubtotals="1" fieldPosition="0"/>
    </format>
    <format dxfId="18">
      <pivotArea field="11" type="button" dataOnly="0" labelOnly="1" outline="0"/>
    </format>
    <format dxfId="17">
      <pivotArea dataOnly="0" labelOnly="1" grandRow="1" outline="0" fieldPosition="0"/>
    </format>
    <format dxfId="1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8" count="1" selected="0">
            <x v="0"/>
          </reference>
        </references>
      </pivotArea>
    </chartFormat>
    <chartFormat chart="0" format="10">
      <pivotArea type="data" outline="0" fieldPosition="0">
        <references count="2">
          <reference field="4294967294" count="1" selected="0">
            <x v="0"/>
          </reference>
          <reference field="8" count="1" selected="0">
            <x v="1"/>
          </reference>
        </references>
      </pivotArea>
    </chartFormat>
    <chartFormat chart="0" format="11">
      <pivotArea type="data" outline="0" fieldPosition="0">
        <references count="2">
          <reference field="4294967294" count="1" selected="0">
            <x v="0"/>
          </reference>
          <reference field="8" count="1" selected="0">
            <x v="2"/>
          </reference>
        </references>
      </pivotArea>
    </chartFormat>
    <chartFormat chart="1" format="13" series="1">
      <pivotArea type="data" outline="0" fieldPosition="0">
        <references count="1">
          <reference field="4294967294" count="1" selected="0">
            <x v="0"/>
          </reference>
        </references>
      </pivotArea>
    </chartFormat>
    <chartFormat chart="1" format="24">
      <pivotArea type="data" outline="0" fieldPosition="0">
        <references count="2">
          <reference field="4294967294" count="1" selected="0">
            <x v="0"/>
          </reference>
          <reference field="8" count="1" selected="0">
            <x v="0"/>
          </reference>
        </references>
      </pivotArea>
    </chartFormat>
    <chartFormat chart="1" format="25">
      <pivotArea type="data" outline="0" fieldPosition="0">
        <references count="2">
          <reference field="4294967294" count="1" selected="0">
            <x v="0"/>
          </reference>
          <reference field="8" count="1" selected="0">
            <x v="1"/>
          </reference>
        </references>
      </pivotArea>
    </chartFormat>
    <chartFormat chart="1" format="2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6550C7-DB5D-4A84-A344-7DDBD4977BBB}"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C21" firstHeaderRow="0" firstDataRow="1" firstDataCol="1" rowPageCount="2" colPageCount="1"/>
  <pivotFields count="20">
    <pivotField showAll="0"/>
    <pivotField showAll="0"/>
    <pivotField showAll="0"/>
    <pivotField axis="axisRow" showAll="0" sortType="ascending">
      <items count="33">
        <item x="14"/>
        <item x="15"/>
        <item x="0"/>
        <item x="12"/>
        <item x="13"/>
        <item x="17"/>
        <item x="18"/>
        <item x="4"/>
        <item x="1"/>
        <item x="2"/>
        <item x="7"/>
        <item x="8"/>
        <item x="3"/>
        <item x="6"/>
        <item x="19"/>
        <item x="20"/>
        <item x="21"/>
        <item x="22"/>
        <item x="16"/>
        <item x="23"/>
        <item x="24"/>
        <item x="5"/>
        <item x="10"/>
        <item x="9"/>
        <item x="11"/>
        <item x="25"/>
        <item x="26"/>
        <item x="27"/>
        <item x="28"/>
        <item x="29"/>
        <item x="30"/>
        <item x="31"/>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pivotField axis="axisPage" showAll="0">
      <items count="4">
        <item x="2"/>
        <item x="1"/>
        <item x="0"/>
        <item t="default"/>
      </items>
    </pivotField>
    <pivotField showAll="0"/>
    <pivotField showAll="0"/>
    <pivotField showAll="0">
      <items count="5">
        <item x="0"/>
        <item x="3"/>
        <item x="2"/>
        <item x="1"/>
        <item t="default"/>
      </items>
    </pivotField>
    <pivotField axis="axisPage" showAll="0">
      <items count="5">
        <item x="1"/>
        <item x="0"/>
        <item x="2"/>
        <item x="3"/>
        <item t="default"/>
      </items>
    </pivotField>
    <pivotField showAll="0"/>
    <pivotField dataField="1" showAll="0"/>
    <pivotField showAll="0"/>
    <pivotField showAll="0"/>
    <pivotField showAll="0"/>
    <pivotField showAll="0"/>
    <pivotField showAll="0"/>
  </pivotFields>
  <rowFields count="1">
    <field x="3"/>
  </rowFields>
  <rowItems count="17">
    <i>
      <x v="20"/>
    </i>
    <i>
      <x v="16"/>
    </i>
    <i>
      <x v="5"/>
    </i>
    <i>
      <x v="19"/>
    </i>
    <i>
      <x v="24"/>
    </i>
    <i>
      <x/>
    </i>
    <i>
      <x v="23"/>
    </i>
    <i>
      <x v="18"/>
    </i>
    <i>
      <x v="22"/>
    </i>
    <i>
      <x v="10"/>
    </i>
    <i>
      <x v="6"/>
    </i>
    <i>
      <x v="11"/>
    </i>
    <i>
      <x v="15"/>
    </i>
    <i>
      <x v="14"/>
    </i>
    <i>
      <x v="17"/>
    </i>
    <i>
      <x v="1"/>
    </i>
    <i t="grand">
      <x/>
    </i>
  </rowItems>
  <colFields count="1">
    <field x="-2"/>
  </colFields>
  <colItems count="2">
    <i>
      <x/>
    </i>
    <i i="1">
      <x v="1"/>
    </i>
  </colItems>
  <pageFields count="2">
    <pageField fld="12" item="1" hier="-1"/>
    <pageField fld="8" item="1" hier="-1"/>
  </pageFields>
  <dataFields count="2">
    <dataField name="Sum of Market Value" fld="6" showDataAs="percentOfTotal" baseField="3" baseItem="10" numFmtId="10"/>
    <dataField name="Sum of PE" fld="14" baseField="0" baseItem="0"/>
  </dataFields>
  <formats count="7">
    <format dxfId="15">
      <pivotArea type="all" dataOnly="0" outline="0" fieldPosition="0"/>
    </format>
    <format dxfId="14">
      <pivotArea outline="0" collapsedLevelsAreSubtotals="1" fieldPosition="0"/>
    </format>
    <format dxfId="13">
      <pivotArea field="11" type="button" dataOnly="0" labelOnly="1" outline="0"/>
    </format>
    <format dxfId="12">
      <pivotArea dataOnly="0" labelOnly="1" grandRow="1" outline="0" fieldPosition="0"/>
    </format>
    <format dxfId="11">
      <pivotArea dataOnly="0" labelOnly="1" outline="0" axis="axisValues" fieldPosition="0"/>
    </format>
    <format dxfId="10">
      <pivotArea collapsedLevelsAreSubtotals="1" fieldPosition="0">
        <references count="1">
          <reference field="3" count="16">
            <x v="0"/>
            <x v="1"/>
            <x v="5"/>
            <x v="6"/>
            <x v="10"/>
            <x v="11"/>
            <x v="14"/>
            <x v="15"/>
            <x v="16"/>
            <x v="17"/>
            <x v="18"/>
            <x v="19"/>
            <x v="20"/>
            <x v="22"/>
            <x v="23"/>
            <x v="24"/>
          </reference>
        </references>
      </pivotArea>
    </format>
    <format dxfId="9">
      <pivotArea outline="0" fieldPosition="0">
        <references count="1">
          <reference field="4294967294" count="1">
            <x v="0"/>
          </reference>
        </references>
      </pivotArea>
    </format>
  </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FC025B-D1DC-4496-9BA4-268E3676BF7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3" firstHeaderRow="0" firstDataRow="1" firstDataCol="1" rowPageCount="1" colPageCount="1"/>
  <pivotFields count="20">
    <pivotField showAll="0"/>
    <pivotField showAll="0"/>
    <pivotField showAll="0"/>
    <pivotField axis="axisRow" showAll="0">
      <items count="38">
        <item x="14"/>
        <item x="15"/>
        <item x="0"/>
        <item m="1" x="29"/>
        <item m="1" x="30"/>
        <item x="12"/>
        <item m="1" x="35"/>
        <item m="1" x="36"/>
        <item x="13"/>
        <item x="17"/>
        <item x="18"/>
        <item x="4"/>
        <item x="1"/>
        <item x="2"/>
        <item x="7"/>
        <item x="8"/>
        <item x="3"/>
        <item x="6"/>
        <item m="1" x="27"/>
        <item x="19"/>
        <item x="20"/>
        <item m="1" x="26"/>
        <item x="21"/>
        <item m="1" x="28"/>
        <item m="1" x="31"/>
        <item x="22"/>
        <item x="16"/>
        <item x="23"/>
        <item x="24"/>
        <item x="5"/>
        <item x="10"/>
        <item x="9"/>
        <item x="11"/>
        <item m="1" x="33"/>
        <item m="1" x="34"/>
        <item m="1" x="32"/>
        <item x="25"/>
        <item t="default"/>
      </items>
    </pivotField>
    <pivotField showAll="0"/>
    <pivotField showAll="0"/>
    <pivotField dataField="1" numFmtId="165" showAll="0"/>
    <pivotField showAll="0"/>
    <pivotField showAll="0"/>
    <pivotField showAll="0"/>
    <pivotField showAll="0"/>
    <pivotField showAll="0"/>
    <pivotField showAll="0"/>
    <pivotField showAll="0"/>
    <pivotField showAll="0"/>
    <pivotField axis="axisPage" dataField="1" multipleItemSelectionAllowed="1" showAll="0">
      <items count="15">
        <item x="2"/>
        <item x="4"/>
        <item x="3"/>
        <item x="5"/>
        <item m="1" x="13"/>
        <item x="6"/>
        <item x="1"/>
        <item m="1" x="9"/>
        <item m="1" x="12"/>
        <item m="1" x="11"/>
        <item m="1" x="7"/>
        <item m="1" x="8"/>
        <item m="1" x="10"/>
        <item h="1" x="0"/>
        <item t="default"/>
      </items>
    </pivotField>
    <pivotField dataField="1" showAll="0"/>
    <pivotField dataField="1" showAll="0"/>
    <pivotField showAll="0"/>
    <pivotField dataField="1" showAll="0"/>
  </pivotFields>
  <rowFields count="1">
    <field x="3"/>
  </rowFields>
  <rowItems count="10">
    <i>
      <x v="12"/>
    </i>
    <i>
      <x v="13"/>
    </i>
    <i>
      <x v="14"/>
    </i>
    <i>
      <x v="15"/>
    </i>
    <i>
      <x v="16"/>
    </i>
    <i>
      <x v="17"/>
    </i>
    <i>
      <x v="30"/>
    </i>
    <i>
      <x v="31"/>
    </i>
    <i>
      <x v="32"/>
    </i>
    <i t="grand">
      <x/>
    </i>
  </rowItems>
  <colFields count="1">
    <field x="-2"/>
  </colFields>
  <colItems count="5">
    <i>
      <x/>
    </i>
    <i i="1">
      <x v="1"/>
    </i>
    <i i="2">
      <x v="2"/>
    </i>
    <i i="3">
      <x v="3"/>
    </i>
    <i i="4">
      <x v="4"/>
    </i>
  </colItems>
  <pageFields count="1">
    <pageField fld="15" hier="-1"/>
  </pageFields>
  <dataFields count="5">
    <dataField name="Average of Sales Charge" fld="16" subtotal="average" baseField="3" baseItem="0" numFmtId="10"/>
    <dataField name="Average of Exit Fee" fld="17" subtotal="average" baseField="3" baseItem="0"/>
    <dataField name="Average of Management Fee" fld="15" subtotal="average" baseField="3" baseItem="0"/>
    <dataField name="Sum of Annual Fee" fld="19" baseField="0" baseItem="0" numFmtId="164"/>
    <dataField name="Sum of Market Value" fld="6" baseField="0" baseItem="0" numFmtId="165"/>
  </dataFields>
  <formats count="9">
    <format dxfId="8">
      <pivotArea type="all" dataOnly="0" outline="0" fieldPosition="0"/>
    </format>
    <format dxfId="7">
      <pivotArea field="3" type="button" dataOnly="0" labelOnly="1" outline="0" axis="axisRow" fieldPosition="0"/>
    </format>
    <format dxfId="6">
      <pivotArea dataOnly="0" labelOnly="1" fieldPosition="0">
        <references count="1">
          <reference field="3" count="0"/>
        </references>
      </pivotArea>
    </format>
    <format dxfId="5">
      <pivotArea dataOnly="0" labelOnly="1" grandRow="1" outline="0" fieldPosition="0"/>
    </format>
    <format dxfId="4">
      <pivotArea dataOnly="0" labelOnly="1" outline="0" axis="axisValues" fieldPosition="0"/>
    </format>
    <format dxfId="3">
      <pivotArea collapsedLevelsAreSubtotals="1" fieldPosition="0">
        <references count="1">
          <reference field="3" count="0"/>
        </references>
      </pivotArea>
    </format>
    <format dxfId="2">
      <pivotArea outline="0" collapsedLevelsAreSubtotals="1" fieldPosition="0"/>
    </format>
    <format dxfId="1">
      <pivotArea outline="0" collapsedLevelsAreSubtotals="1" fieldPosition="0">
        <references count="1">
          <reference field="4294967294" count="1" selected="0">
            <x v="3"/>
          </reference>
        </references>
      </pivotArea>
    </format>
    <format dxfId="0">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73">
  <rv s="0">
    <v>0</v>
    <v>USD/COP</v>
    <v>2</v>
    <v>3</v>
    <v>Finance</v>
    <v>4</v>
    <v>en-US</v>
    <v>avyma2</v>
    <v>268435456</v>
    <v>1</v>
    <v>Powered by Refinitiv</v>
    <v>5118.38</v>
    <v>3859.07</v>
    <v>23.44</v>
    <v>5.8479999999999999E-3</v>
    <v>COP</v>
    <v>USD</v>
    <v>4060.59</v>
    <v>Currency Pair</v>
    <v>45238.57671296296</v>
    <v>4038.13</v>
    <v>US Dollar/Colombian Peso FX Spot Rate</v>
    <v>4022.77</v>
    <v>4007.88</v>
    <v>4031.32</v>
    <v>USDCOP</v>
    <v>USD/COP</v>
  </rv>
  <rv s="1">
    <v>0</v>
  </rv>
  <rv s="2">
    <v>https://www.bing.com/financeapi/forcetrigger?t=a252oc&amp;q=BATS%3aUSHY&amp;form=skydnc</v>
    <v>Learn more on Bing</v>
  </rv>
  <rv s="3">
    <v>5</v>
    <v>iShares:Brd USD HY Cp Bd (BATS:USHY)</v>
    <v>6</v>
    <v>7</v>
    <v>Finance</v>
    <v>8</v>
    <v>en-US</v>
    <v>a252oc</v>
    <v>268435456</v>
    <v>1</v>
    <v>Powered by Refinitiv</v>
    <v>36.229999999999997</v>
    <v>33.695</v>
    <v>1.0152000000000001</v>
    <v>0.02</v>
    <v>5.7320000000000005E-4</v>
    <v>USD</v>
    <v>CBOE BZX Exchange</v>
    <v>BATS</v>
    <v>1.5E-3</v>
    <v>34.94</v>
    <v>ETF</v>
    <v>45237.041711365622</v>
    <v>2</v>
    <v>34.784999999999997</v>
    <v>9048435708.7900009</v>
    <v>iShares:Brd USD HY Cp Bd</v>
    <v>34.840000000000003</v>
    <v>34.89</v>
    <v>34.909999999999997</v>
    <v>USHY</v>
    <v>iShares:Brd USD HY Cp Bd (BATS:USHY)</v>
    <v>2266</v>
    <v>7176039</v>
  </rv>
  <rv s="1">
    <v>3</v>
  </rv>
  <rv s="2">
    <v>https://www.bing.com/financeapi/forcetrigger?t=a1qb52&amp;q=XNAS%3aUSIG&amp;form=skydnc</v>
    <v>Learn more on Bing</v>
  </rv>
  <rv s="3">
    <v>5</v>
    <v>iShares:Brd USD IG Cp Bd (XNAS:USIG)</v>
    <v>6</v>
    <v>7</v>
    <v>Finance</v>
    <v>9</v>
    <v>en-US</v>
    <v>a1qb52</v>
    <v>268435456</v>
    <v>1</v>
    <v>Powered by Refinitiv</v>
    <v>51.77</v>
    <v>46.7</v>
    <v>0.99339999999999995</v>
    <v>0.27</v>
    <v>5.6510000000000006E-3</v>
    <v>USD</v>
    <v>Nasdaq Stock Market</v>
    <v>XNAS</v>
    <v>4.0000000000000002E-4</v>
    <v>48.14</v>
    <v>ETF</v>
    <v>45237.885416828125</v>
    <v>5</v>
    <v>47.88</v>
    <v>9008505723.1599998</v>
    <v>iShares:Brd USD IG Cp Bd</v>
    <v>47.92</v>
    <v>47.78</v>
    <v>48.05</v>
    <v>USIG</v>
    <v>iShares:Brd USD IG Cp Bd (XNAS:USIG)</v>
    <v>2</v>
    <v>1346338</v>
  </rv>
  <rv s="1">
    <v>6</v>
  </rv>
  <rv s="2">
    <v>https://www.bing.com/financeapi/forcetrigger?t=a23rur&amp;q=ARCX%3aSUB&amp;form=skydnc</v>
    <v>Learn more on Bing</v>
  </rv>
  <rv s="3">
    <v>5</v>
    <v>iShares:ST Nat Muni Bond (ARCX:SUB)</v>
    <v>6</v>
    <v>7</v>
    <v>Finance</v>
    <v>9</v>
    <v>en-US</v>
    <v>a23rur</v>
    <v>268435456</v>
    <v>1</v>
    <v>Powered by Refinitiv</v>
    <v>105.16</v>
    <v>102.5</v>
    <v>0.77059999999999995</v>
    <v>0.2</v>
    <v>1.933E-3</v>
    <v>USD</v>
    <v>NYSE Arca</v>
    <v>ARCX</v>
    <v>7.000000000000001E-4</v>
    <v>103.76</v>
    <v>ETF</v>
    <v>45238.041666712503</v>
    <v>8</v>
    <v>103.54</v>
    <v>8598335973.7099991</v>
    <v>iShares:ST Nat Muni Bond</v>
    <v>103.57</v>
    <v>103.45</v>
    <v>103.65</v>
    <v>SUB</v>
    <v>iShares:ST Nat Muni Bond (ARCX:SUB)</v>
    <v>1</v>
    <v>778307</v>
  </rv>
  <rv s="1">
    <v>9</v>
  </rv>
  <rv s="2">
    <v>https://www.bing.com/financeapi/forcetrigger?t=a1v1fr&amp;q=BATS%3aHYD&amp;form=skydnc</v>
    <v>Learn more on Bing</v>
  </rv>
  <rv s="3">
    <v>5</v>
    <v>VanEck:High Yield Muni (BATS:HYD)</v>
    <v>6</v>
    <v>7</v>
    <v>Finance</v>
    <v>8</v>
    <v>en-US</v>
    <v>a1v1fr</v>
    <v>268435456</v>
    <v>1</v>
    <v>Powered by Refinitiv</v>
    <v>52.98</v>
    <v>47.375</v>
    <v>1.2287999999999999</v>
    <v>0.31</v>
    <v>6.3920000000000001E-3</v>
    <v>USD</v>
    <v>CBOE BZX Exchange</v>
    <v>BATS</v>
    <v>3.4999999999999996E-3</v>
    <v>48.89</v>
    <v>ETF</v>
    <v>45237.900673274999</v>
    <v>11</v>
    <v>48.65</v>
    <v>2503897392.46</v>
    <v>VanEck:High Yield Muni</v>
    <v>48.78</v>
    <v>48.5</v>
    <v>48.81</v>
    <v>HYD</v>
    <v>VanEck:High Yield Muni (BATS:HYD)</v>
    <v>17</v>
    <v>1354564</v>
  </rv>
  <rv s="1">
    <v>12</v>
  </rv>
  <rv s="2">
    <v>https://www.bing.com/financeapi/forcetrigger?t=a1u477&amp;q=BATS%3aGOVT&amp;form=skydnc</v>
    <v>Learn more on Bing</v>
  </rv>
  <rv s="3">
    <v>5</v>
    <v>iShares:US Treasury Bond (BATS:GOVT)</v>
    <v>6</v>
    <v>7</v>
    <v>Finance</v>
    <v>10</v>
    <v>en-US</v>
    <v>a1u477</v>
    <v>268435456</v>
    <v>1</v>
    <v>Powered by Refinitiv</v>
    <v>23.66</v>
    <v>21.59</v>
    <v>0.85389999999999999</v>
    <v>8.5000000000000006E-2</v>
    <v>3.8649999999999999E-3</v>
    <v>USD</v>
    <v>CBOE BZX Exchange</v>
    <v>BATS</v>
    <v>5.0000000000000001E-4</v>
    <v>22.12</v>
    <v>ETF</v>
    <v>45237.993584478907</v>
    <v>14</v>
    <v>22.04</v>
    <v>22636364945.990002</v>
    <v>iShares:US Treasury Bond</v>
    <v>22.04</v>
    <v>21.995000000000001</v>
    <v>22.08</v>
    <v>GOVT</v>
    <v>iShares:US Treasury Bond (BATS:GOVT)</v>
    <v>234</v>
    <v>13735679</v>
  </rv>
  <rv s="1">
    <v>15</v>
  </rv>
  <rv s="2">
    <v>https://www.bing.com/financeapi/forcetrigger?t=a1vvec&amp;q=XNAS%3aIUSG&amp;form=skydnc</v>
    <v>Learn more on Bing</v>
  </rv>
  <rv s="3">
    <v>5</v>
    <v>iShares:Core S&amp;P US Gr (XNAS:IUSG)</v>
    <v>6</v>
    <v>7</v>
    <v>Finance</v>
    <v>9</v>
    <v>en-US</v>
    <v>a1vvec</v>
    <v>268435456</v>
    <v>1</v>
    <v>Powered by Refinitiv</v>
    <v>101.04</v>
    <v>79.5</v>
    <v>0.99099999999999999</v>
    <v>0.38</v>
    <v>3.9439999999999996E-3</v>
    <v>USD</v>
    <v>Nasdaq Stock Market</v>
    <v>XNAS</v>
    <v>4.0000000000000002E-4</v>
    <v>96.909000000000006</v>
    <v>ETF</v>
    <v>45237.885416700781</v>
    <v>17</v>
    <v>96.1</v>
    <v>12993854849.120001</v>
    <v>iShares:Core S&amp;P US Gr</v>
    <v>96.37</v>
    <v>96.34</v>
    <v>96.72</v>
    <v>IUSG</v>
    <v>iShares:Core S&amp;P US Gr (XNAS:IUSG)</v>
    <v>18</v>
    <v>499688</v>
  </rv>
  <rv s="1">
    <v>18</v>
  </rv>
  <rv s="2">
    <v>https://www.bing.com/financeapi/forcetrigger?t=a1vvh7&amp;q=XNAS%3aIUSV&amp;form=skydnc</v>
    <v>Learn more on Bing</v>
  </rv>
  <rv s="3">
    <v>5</v>
    <v>iShares:Core S&amp;P US Val (XNAS:IUSV)</v>
    <v>6</v>
    <v>7</v>
    <v>Finance</v>
    <v>9</v>
    <v>en-US</v>
    <v>a1vvh7</v>
    <v>268435456</v>
    <v>1</v>
    <v>Powered by Refinitiv</v>
    <v>81.44</v>
    <v>68.819999999999993</v>
    <v>1.0102</v>
    <v>0.06</v>
    <v>7.897999999999999E-4</v>
    <v>USD</v>
    <v>Nasdaq Stock Market</v>
    <v>XNAS</v>
    <v>4.0000000000000002E-4</v>
    <v>76.239999999999995</v>
    <v>ETF</v>
    <v>45237.885416700781</v>
    <v>20</v>
    <v>75.730099999999993</v>
    <v>13189489163.780001</v>
    <v>iShares:Core S&amp;P US Val</v>
    <v>76.02</v>
    <v>75.97</v>
    <v>76.03</v>
    <v>IUSV</v>
    <v>iShares:Core S&amp;P US Val (XNAS:IUSV)</v>
    <v>85</v>
    <v>677448</v>
  </rv>
  <rv s="1">
    <v>21</v>
  </rv>
  <rv s="2">
    <v>https://www.bing.com/financeapi/forcetrigger?t=a25nhw&amp;q=ARCX%3aVWO&amp;form=skydnc</v>
    <v>Learn more on Bing</v>
  </rv>
  <rv s="3">
    <v>5</v>
    <v>Vanguard EM St I;ETF (ARCX:VWO)</v>
    <v>6</v>
    <v>7</v>
    <v>Finance</v>
    <v>10</v>
    <v>en-US</v>
    <v>a25nhw</v>
    <v>268435456</v>
    <v>1</v>
    <v>Powered by Refinitiv</v>
    <v>43.215000000000003</v>
    <v>36.880000000000003</v>
    <v>0.91549999999999998</v>
    <v>0.01</v>
    <v>2.5230000000000001E-4</v>
    <v>USD</v>
    <v>NYSE Arca</v>
    <v>ARCX</v>
    <v>8.0000000000000004E-4</v>
    <v>39.659999999999997</v>
    <v>ETF</v>
    <v>45238.041666666664</v>
    <v>23</v>
    <v>39.33</v>
    <v>70677468915</v>
    <v>Vanguard EM St I;ETF</v>
    <v>39.53</v>
    <v>39.630000000000003</v>
    <v>39.64</v>
    <v>VWO</v>
    <v>Vanguard EM St I;ETF (ARCX:VWO)</v>
    <v>1755</v>
    <v>10180071</v>
  </rv>
  <rv s="1">
    <v>24</v>
  </rv>
  <rv s="2">
    <v>https://www.bing.com/financeapi/forcetrigger?t=a25927&amp;q=ARCX%3aVEA&amp;form=skydnc</v>
    <v>Learn more on Bing</v>
  </rv>
  <rv s="3">
    <v>5</v>
    <v>Vanguard Dev Mkt;ETF (ARCX:VEA)</v>
    <v>6</v>
    <v>7</v>
    <v>Finance</v>
    <v>10</v>
    <v>en-US</v>
    <v>a25927</v>
    <v>268435456</v>
    <v>1</v>
    <v>Powered by Refinitiv</v>
    <v>47.81</v>
    <v>39.53</v>
    <v>1.0454000000000001</v>
    <v>-0.33</v>
    <v>-7.4910000000000003E-3</v>
    <v>USD</v>
    <v>NYSE Arca</v>
    <v>ARCX</v>
    <v>5.0000000000000001E-4</v>
    <v>43.817500000000003</v>
    <v>ETF</v>
    <v>45238.041666700781</v>
    <v>26</v>
    <v>43.57</v>
    <v>109061600170</v>
    <v>Vanguard Dev Mkt;ETF</v>
    <v>43.69</v>
    <v>44.05</v>
    <v>43.72</v>
    <v>VEA</v>
    <v>Vanguard Dev Mkt;ETF (ARCX:VEA)</v>
    <v>1325</v>
    <v>12565220</v>
  </rv>
  <rv s="1">
    <v>27</v>
  </rv>
  <rv s="2">
    <v>https://www.bing.com/financeapi/forcetrigger?t=a25mim&amp;q=XNAS%3aVTWO&amp;form=skydnc</v>
    <v>Learn more on Bing</v>
  </rv>
  <rv s="3">
    <v>5</v>
    <v>Vanguard Rus 2000 Id;ETF (XNAS:VTWO)</v>
    <v>6</v>
    <v>7</v>
    <v>Finance</v>
    <v>9</v>
    <v>en-US</v>
    <v>a25mim</v>
    <v>268435456</v>
    <v>1</v>
    <v>Powered by Refinitiv</v>
    <v>80.41</v>
    <v>65.39</v>
    <v>1.0001</v>
    <v>-0.2</v>
    <v>-2.869E-3</v>
    <v>USD</v>
    <v>Nasdaq Stock Market</v>
    <v>XNAS</v>
    <v>1E-3</v>
    <v>69.77</v>
    <v>ETF</v>
    <v>45238.01698895781</v>
    <v>29</v>
    <v>68.98</v>
    <v>5930979638.9200001</v>
    <v>Vanguard Rus 2000 Id;ETF</v>
    <v>69.38</v>
    <v>69.709999999999994</v>
    <v>69.510000000000005</v>
    <v>VTWO</v>
    <v>Vanguard Rus 2000 Id;ETF (XNAS:VTWO)</v>
    <v>4361</v>
    <v>2196247</v>
  </rv>
  <rv s="1">
    <v>30</v>
  </rv>
  <rv s="2">
    <v>https://www.bing.com/financeapi/forcetrigger?t=aw4hvh&amp;q=OTCM%3aEEENF&amp;form=skydnc</v>
    <v>Learn more on Bing</v>
  </rv>
  <rv s="4">
    <v>11</v>
    <v>88 ENERGY LIMITED (OTCM:EEENF)</v>
    <v>12</v>
    <v>13</v>
    <v>Finance</v>
    <v>14</v>
    <v>en-US</v>
    <v>aw4hvh</v>
    <v>268435456</v>
    <v>1</v>
    <v>Powered by Refinitiv</v>
    <v>1.0070000000000001E-2</v>
    <v>2.8E-3</v>
    <v>-0.1792</v>
    <v>-1E-4</v>
    <v>-2.1739000000000001E-2</v>
    <v>USD</v>
    <v>88 Energy Limited is an Australia-based oil and gas exploration company. The Company is focused on oil exploration and appraisal activities across approximately 440,000 net acres in the Alaskan Central North Slope and NPR-A regions. The Company has a diversified portfolio of four prospective project areas: Project Icewine, Yukon Leases, Project Peregrine and the Umiat oil field. The Project Peregrine covers an area of approximately 195,973 acres. The Umiat Oil Field is located immediately adjacent to Project Peregrine. The Project Icewine is situated on the Central North Slope, Alaska and covers an area of approximately 193,000 acres. The Project Longhorn covers an area of approximately 1,300 net acres in West Andrews and Ector Countries in the Permian Basin.</v>
    <v>10</v>
    <v>OTC Markets</v>
    <v>OTCM</v>
    <v>OTCM</v>
    <v>Ground Floor, 516 Hay Street, West Perth, SUBIACO, WESTERN AUSTRALIA, 6008 AU</v>
    <v>4.5999999999999999E-3</v>
    <v>Oil &amp; Gas</v>
    <v>Stock</v>
    <v>45238.048611111109</v>
    <v>32</v>
    <v>4.3E-3</v>
    <v>132711900</v>
    <v>88 ENERGY LIMITED</v>
    <v>88 ENERGY LIMITED</v>
    <v>4.5999999999999999E-3</v>
    <v>4.5999999999999999E-3</v>
    <v>4.4999999999999997E-3</v>
    <v>22118650000</v>
    <v>EEENF</v>
    <v>88 ENERGY LIMITED (OTCM:EEENF)</v>
    <v>8852992</v>
    <v>16630440</v>
    <v>1996</v>
  </rv>
  <rv s="1">
    <v>33</v>
  </rv>
  <rv s="2">
    <v>https://www.bing.com/financeapi/forcetrigger?t=a1nhlh&amp;q=XNAS%3aAMZN&amp;form=skydnc</v>
    <v>Learn more on Bing</v>
  </rv>
  <rv s="5">
    <v>15</v>
    <v>AMAZON.COM, INC. (XNAS:AMZN)</v>
    <v>12</v>
    <v>16</v>
    <v>Finance</v>
    <v>17</v>
    <v>en-US</v>
    <v>a1nhlh</v>
    <v>268435456</v>
    <v>1</v>
    <v>Powered by Refinitiv</v>
    <v>145.86000000000001</v>
    <v>81.430000000000007</v>
    <v>1.1774</v>
    <v>2.97</v>
    <v>2.1253999999999999E-2</v>
    <v>USD</v>
    <v>Amazon.com, Inc. provides a range of products and services to customers. The products offered through its stores include merchandise and content that it purchased for resale and products offered by third-party sellers. It manufactures and sells electronic devices, including Kindle, Fire tablet, Fire TV, Echo, and Ring, and it develops and produces media content. It also offers subscription services such as Amazon Prime, a membership program. Its segments include North America, International and Amazon Web Services (AWS). The AWS segment consists of global sales of compute, storage, database, and other services for start-ups, enterprises, government agencies, and academic institutions. It provides advertising services to sellers, vendors, publishers, authors, and others, through programs, such as sponsored advertisements, display, and video advertising. Customers access its offerings through websites, mobile applications, Alexa, devices, streaming, and physically visiting its stores.</v>
    <v>1500000</v>
    <v>Nasdaq Stock Market</v>
    <v>XNAS</v>
    <v>XNAS</v>
    <v>410 Terry Ave N, SEATTLE, WA, 98109 US</v>
    <v>143.37</v>
    <v>Diversified Retail</v>
    <v>Stock</v>
    <v>45238.041650474217</v>
    <v>35</v>
    <v>140.5</v>
    <v>1474769421300</v>
    <v>AMAZON.COM, INC.</v>
    <v>AMAZON.COM, INC.</v>
    <v>140.55000000000001</v>
    <v>74.505099999999999</v>
    <v>139.74</v>
    <v>142.71</v>
    <v>10334030000</v>
    <v>AMZN</v>
    <v>AMAZON.COM, INC. (XNAS:AMZN)</v>
    <v>308996</v>
    <v>55258474</v>
    <v>1996</v>
  </rv>
  <rv s="1">
    <v>36</v>
  </rv>
  <rv s="2">
    <v>https://www.bing.com/financeapi/forcetrigger?t=a1o4ec&amp;q=XNYS%3aBA&amp;form=skydnc</v>
    <v>Learn more on Bing</v>
  </rv>
  <rv s="4">
    <v>11</v>
    <v>THE BOEING COMPANY (XNYS:BA)</v>
    <v>12</v>
    <v>18</v>
    <v>Finance</v>
    <v>17</v>
    <v>en-US</v>
    <v>a1o4ec</v>
    <v>268435456</v>
    <v>1</v>
    <v>Powered by Refinitiv</v>
    <v>243.1</v>
    <v>164.9117</v>
    <v>1.4745999999999999</v>
    <v>-1.54</v>
    <v>-7.9810000000000002E-3</v>
    <v>USD</v>
    <v>The Boeing Company is an aerospace company. The Company's segments include Commercial Airplanes (BCA), Defense, Space &amp; Security (BDS), Global Services (BGS) and Boeing Capital (BCC). Its BCA segment develops, produces and markets commercial jet aircraft to the commercial airline industry worldwide. Its commercial jet aircraft in production include the 737 narrow-body model and the 767, 777 and 787 wide-body models. Its BDS segment is engaged in the research, development, production and modification of manned and unmanned military aircraft and weapons systems. Its BGS segment offers aerospace platforms and systems with a range of products and services, including supply chain and logistics management, engineering, maintenance and modifications, upgrades and conversions, spare parts, pilot and others. Its BCC segment's portfolio consists of equipment under operating leases, sales-type/finance leases, notes and other receivables, assets held for sale or re-lease and investments.</v>
    <v>156000</v>
    <v>New York Stock Exchange</v>
    <v>XNYS</v>
    <v>XNYS</v>
    <v>929 Long Bridge Drive, ARLINGTON, VA, 22202 US</v>
    <v>192.17</v>
    <v>Aerospace &amp; Defense</v>
    <v>Stock</v>
    <v>45238.041376735935</v>
    <v>38</v>
    <v>189.57</v>
    <v>115798609288</v>
    <v>THE BOEING COMPANY</v>
    <v>THE BOEING COMPANY</v>
    <v>192.17</v>
    <v>192.95</v>
    <v>191.41</v>
    <v>604976800</v>
    <v>BA</v>
    <v>THE BOEING COMPANY (XNYS:BA)</v>
    <v>9522</v>
    <v>5731444</v>
    <v>1934</v>
  </rv>
  <rv s="1">
    <v>39</v>
  </rv>
  <rv s="6">
    <v>12</v>
    <v>P/E</v>
    <v>0</v>
  </rv>
  <rv s="2">
    <v>https://www.bing.com/financeapi/forcetrigger?t=azqpgh&amp;q=XNAS%3aDOCU&amp;form=skydnc</v>
    <v>Learn more on Bing</v>
  </rv>
  <rv s="4">
    <v>11</v>
    <v>DOCUSIGN, INC. (XNAS:DOCU)</v>
    <v>12</v>
    <v>18</v>
    <v>Finance</v>
    <v>19</v>
    <v>en-US</v>
    <v>azqpgh</v>
    <v>268435456</v>
    <v>1</v>
    <v>Powered by Refinitiv</v>
    <v>69.45</v>
    <v>38.11</v>
    <v>0.88680000000000003</v>
    <v>0.67</v>
    <v>1.6579999999999998E-2</v>
    <v>USD</v>
    <v>DocuSign, Inc. offers electronic signature product, enabling an agreement to be signed electronically on a variety of devices, from virtually anywhere in the world. The Company offers DocuSign Agreement Cloud, which is a cloud software platform that automates and connects the entire agreement process. It includes DocuSign eSignature, an electronic signature solution. It offers applications for automating pre- and post-signature processes, such as automatically generating an agreement from data in other systems, supporting negotiation workflow, verifying identities, enabling remote online notarization, collecting payment after signatures, and using artificial intelligence to analyze a collection of agreements for risks and opportunities. The Company also includes hundreds of integrations to other systems, so agreement processes can integrate with other business processes and data. Its offers DocuSign Insight, which uses AI to search and analyze agreements by legal concepts and clauses.</v>
    <v>7336</v>
    <v>Nasdaq Stock Market</v>
    <v>XNAS</v>
    <v>XNAS</v>
    <v>221 Main St Ste 1550, SAN FRANCISCO, CA, 94105-1947 US</v>
    <v>41.27</v>
    <v>Software &amp; IT Services</v>
    <v>Stock</v>
    <v>45238.029406053123</v>
    <v>42</v>
    <v>40.360100000000003</v>
    <v>8347665508</v>
    <v>DOCUSIGN, INC.</v>
    <v>DOCUSIGN, INC.</v>
    <v>40.770000000000003</v>
    <v>40.409999999999997</v>
    <v>41.08</v>
    <v>203205100</v>
    <v>DOCU</v>
    <v>DOCUSIGN, INC. (XNAS:DOCU)</v>
    <v>8849</v>
    <v>2557423</v>
    <v>2012</v>
  </rv>
  <rv s="1">
    <v>43</v>
  </rv>
  <rv s="2">
    <v>https://www.bing.com/financeapi/forcetrigger?t=a2hqlh&amp;q=OTCM%3aGBTC&amp;form=skydnc</v>
    <v>Learn more on Bing</v>
  </rv>
  <rv s="7">
    <v>20</v>
    <v>GRAYSCALE BITCOIN TRUST (BTC) (OTCM:GBTC)</v>
    <v>12</v>
    <v>21</v>
    <v>Finance</v>
    <v>14</v>
    <v>en-US</v>
    <v>a2hqlh</v>
    <v>268435456</v>
    <v>1</v>
    <v>Powered by Refinitiv</v>
    <v>28.25</v>
    <v>7.46</v>
    <v>2.0348999999999999</v>
    <v>1.1499999999999999</v>
    <v>4.2672000000000002E-2</v>
    <v>USD</v>
    <v>Grayscale Bitcoin Trust (the Trust) is an investment vehicle. The Trust’s purpose is to hold Bitcoins, which are digital assets that are created and transmitted through the operations of the peer-to-peer Bitcoin network, a decentralized network of computers that operates on cryptographic protocols. Its investment objective is for the value of the shares (based on Bitcoin per Share) to reflect the value of Bitcoin held by the Trust, determined by reference to the Index Price, less the Trust’s expenses and other liabilities. The Trust’s activities include issuing Baskets in exchange for Bitcoins transferred to the Trust; transferring or selling Bitcoins, Incidental Rights and IR Virtual Currency; transferring Bitcoins in exchange for Baskets surrendered for redemption; causing the Sponsor to sell Bitcoins, Incidental Rights and IR Virtual Currency on the termination of the Trust; and making distributions of Incidental Rights and/or IR Virtual Currency or cash from the sale thereof.</v>
    <v>OTC Markets</v>
    <v>OTCM</v>
    <v>OTCM</v>
    <v>290 Harbor Drive, 4Th Floor, STAMFORD, CT, 06902 US</v>
    <v>28.25</v>
    <v>Financial Technology (Fintech) &amp; Infrastructure</v>
    <v>Stock</v>
    <v>45238.048611111109</v>
    <v>45</v>
    <v>26.58</v>
    <v>19455599810</v>
    <v>GRAYSCALE BITCOIN TRUST (BTC)</v>
    <v>GRAYSCALE BITCOIN TRUST (BTC)</v>
    <v>26.75</v>
    <v>4.3662000000000001</v>
    <v>26.95</v>
    <v>28.1</v>
    <v>692370100</v>
    <v>GBTC</v>
    <v>GRAYSCALE BITCOIN TRUST (BTC) (OTCM:GBTC)</v>
    <v>344</v>
    <v>4470190</v>
    <v>2013</v>
  </rv>
  <rv s="1">
    <v>46</v>
  </rv>
  <rv s="2">
    <v>http://en.wikipedia.org/wiki/Public_domain</v>
    <v>Public domain</v>
  </rv>
  <rv s="2">
    <v>https://en.wikipedia.org/wiki/Microsoft</v>
    <v>Wikipedia</v>
  </rv>
  <rv s="8">
    <v>48</v>
    <v>49</v>
  </rv>
  <rv s="9">
    <v>26</v>
    <v>https://www.bing.com/th?id=AMMS_e6e837c7bf3a77408619758b7447855a&amp;qlt=95</v>
    <v>50</v>
    <v>0</v>
    <v>https://www.bing.com/images/search?form=xlimg&amp;q=microsoft</v>
    <v>Image of MICROSOFT CORPORATION</v>
  </rv>
  <rv s="2">
    <v>https://www.bing.com/financeapi/forcetrigger?t=a1xzim&amp;q=XNAS%3aMSFT&amp;form=skydnc</v>
    <v>Learn more on Bing</v>
  </rv>
  <rv s="10">
    <v>22</v>
    <v>MICROSOFT CORPORATION (XNAS:MSFT)</v>
    <v>24</v>
    <v>25</v>
    <v>Finance</v>
    <v>17</v>
    <v>en-US</v>
    <v>a1xzim</v>
    <v>268435456</v>
    <v>1</v>
    <v>Powered by Refinitiv</v>
    <v>366.78</v>
    <v>219.35</v>
    <v>0.88739999999999997</v>
    <v>4</v>
    <v>1.1219E-2</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221000</v>
    <v>Nasdaq Stock Market</v>
    <v>XNAS</v>
    <v>XNAS</v>
    <v>One Microsoft Way, REDMOND, WA, 98052-6399 US</v>
    <v>362.46</v>
    <v>51</v>
    <v>Software &amp; IT Services</v>
    <v>Stock</v>
    <v>45238.041607256251</v>
    <v>52</v>
    <v>357.63</v>
    <v>2679553418860</v>
    <v>MICROSOFT CORPORATION</v>
    <v>MICROSOFT CORPORATION</v>
    <v>359.4</v>
    <v>34.913200000000003</v>
    <v>356.53</v>
    <v>360.53</v>
    <v>7432262000</v>
    <v>MSFT</v>
    <v>MICROSOFT CORPORATION (XNAS:MSFT)</v>
    <v>124824</v>
    <v>25006682</v>
    <v>1993</v>
  </rv>
  <rv s="1">
    <v>53</v>
  </rv>
  <rv s="2">
    <v>https://www.bing.com/financeapi/forcetrigger?t=a1ygoc&amp;q=XNAS%3aNFLX&amp;form=skydnc</v>
    <v>Learn more on Bing</v>
  </rv>
  <rv s="5">
    <v>15</v>
    <v>NETFLIX, INC. (XNAS:NFLX)</v>
    <v>12</v>
    <v>16</v>
    <v>Finance</v>
    <v>17</v>
    <v>en-US</v>
    <v>a1ygoc</v>
    <v>268435456</v>
    <v>1</v>
    <v>Powered by Refinitiv</v>
    <v>485</v>
    <v>254.22020000000001</v>
    <v>1.2439</v>
    <v>-0.13</v>
    <v>-2.99E-4</v>
    <v>USD</v>
    <v>Netflix, Inc. is an entertainment services company. The Company has paid memberships in over 190 countries with television (TV) series, films and games across a variety of genres and languages. Its members can play, pause and resume to watch, as much as they want, anytime, anywhere, and can change their plans at any time. It offers a variety of streaming membership plans, the price of which varies by country, and the features of the plan. The pricing of its plans ranges from United States dollar equivalent of approximately $1 to $26 per month. It offers members the ability to receive streaming content through a host of Internet-connected devices, including TVs, digital video players, TV set-top boxes, and mobile devices. The Company has agreements with various cable, satellite and telecommunications operators to make its service available through the TV set-top boxes of these service providers. The Company acquires, licenses, and produces content, including original programming.</v>
    <v>12800</v>
    <v>Nasdaq Stock Market</v>
    <v>XNAS</v>
    <v>XNAS</v>
    <v>121 Albright Way, LOS GATOS, CA, 95032 US</v>
    <v>437.64</v>
    <v>Software &amp; IT Services</v>
    <v>Stock</v>
    <v>45238.041391585153</v>
    <v>55</v>
    <v>431</v>
    <v>190219974417</v>
    <v>NETFLIX, INC.</v>
    <v>NETFLIX, INC.</v>
    <v>436.18</v>
    <v>47.1785</v>
    <v>434.74</v>
    <v>434.61</v>
    <v>437679700</v>
    <v>NFLX</v>
    <v>NETFLIX, INC. (XNAS:NFLX)</v>
    <v>6191</v>
    <v>6852313</v>
    <v>1997</v>
  </rv>
  <rv s="1">
    <v>56</v>
  </rv>
  <rv s="2">
    <v>https://www.bing.com/financeapi/forcetrigger?t=b1ab8m&amp;q=XNAS%3aNKLA&amp;form=skydnc</v>
    <v>Learn more on Bing</v>
  </rv>
  <rv s="4">
    <v>11</v>
    <v>NIKOLA CORPORATION (XNAS:NKLA)</v>
    <v>12</v>
    <v>18</v>
    <v>Finance</v>
    <v>17</v>
    <v>en-US</v>
    <v>b1ab8m</v>
    <v>268435456</v>
    <v>1</v>
    <v>Powered by Refinitiv</v>
    <v>3.71</v>
    <v>0.52100000000000002</v>
    <v>1.9491000000000001</v>
    <v>-6.5000000000000002E-2</v>
    <v>-5.9360999999999997E-2</v>
    <v>USD</v>
    <v>Nikola Corporation is a designer and manufacturer of heavy-duty commercial battery-electric (BEV) and hydrogen-electric vehicles (FCEV) and energy infrastructure solutions. The Company is also a technology integrator that is engaged in developing energy and transportation solutions. It operates through two business units: Truck and Energy. The Truck business unit is engaged in developing and commercializing battery-electric vehicles (BEV) and hydrogen fuel cell electric vehicles (FCEV), class 8 trucks that provide solutions to the short-haul, medium-haul, and long-haul trucking sectors. The Energy business unit is focused on developing and constructing a hydrogen fueling ecosystem and providing BEV charging support to meet anticipated fuel demand for its FCEV and BEV customers, as well as other third-party customers. The Company's principal vehicle offerings include Nikola Tre BEV and Nikola Tre FCEV.</v>
    <v>1500</v>
    <v>Nasdaq Stock Market</v>
    <v>XNAS</v>
    <v>XNAS</v>
    <v>4141 E Broadway Road, PHOENIX, AZ, 85040 US</v>
    <v>1.1000000000000001</v>
    <v>Automobiles &amp; Auto Parts</v>
    <v>Stock</v>
    <v>45238.041606700783</v>
    <v>58</v>
    <v>1.01</v>
    <v>1046902300</v>
    <v>NIKOLA CORPORATION</v>
    <v>NIKOLA CORPORATION</v>
    <v>1.1000000000000001</v>
    <v>1.095</v>
    <v>1.03</v>
    <v>1016410000</v>
    <v>NKLA</v>
    <v>NIKOLA CORPORATION (XNAS:NKLA)</v>
    <v>744431</v>
    <v>42764120</v>
    <v>2018</v>
  </rv>
  <rv s="1">
    <v>59</v>
  </rv>
  <rv s="2">
    <v>https://www.bing.com/financeapi/forcetrigger?t=a24kar&amp;q=XNAS%3aTSLA&amp;form=skydnc</v>
    <v>Learn more on Bing</v>
  </rv>
  <rv s="5">
    <v>15</v>
    <v>TESLA, INC. (XNAS:TSLA)</v>
    <v>12</v>
    <v>16</v>
    <v>Finance</v>
    <v>17</v>
    <v>en-US</v>
    <v>a24kar</v>
    <v>268435456</v>
    <v>1</v>
    <v>Powered by Refinitiv</v>
    <v>299.29000000000002</v>
    <v>101.81</v>
    <v>2.2761999999999998</v>
    <v>2.91</v>
    <v>1.3271E-2</v>
    <v>USD</v>
    <v>Tesla, Inc. designs, develops, manufactures, sells and leases fully electric vehicles and energy generation and storage systems, and offer services related to its products. The Company's automotive segment includes the design, development, manufacturing, sales, and leasing of electric vehicles as well as sales of automotive regulatory credits. Additionally, the automotive segment is also comprised of services and other, which includes non-warranty after-sales vehicle services, sales of used vehicles, retail merchandise, sales by its acquired subsidiaries to third party customers, and vehicle insurance. Its energy generation and storage segment include the design, manufacture, installation, sales and leasing of solar energy generation and energy storage products and related services and sales of solar energy systems incentives. Its automotive products include Model 3, Model Y, Model S and Model X. Powerwall and Megapack are its lithium-ion battery energy storage products.</v>
    <v>127855</v>
    <v>Nasdaq Stock Market</v>
    <v>XNAS</v>
    <v>XNAS</v>
    <v>1 Tesla Road, AUSTIN, TX, 78725 US</v>
    <v>223.12</v>
    <v>Automobiles &amp; Auto Parts</v>
    <v>Stock</v>
    <v>45238.041664745309</v>
    <v>61</v>
    <v>215.72</v>
    <v>706292667780</v>
    <v>TESLA, INC.</v>
    <v>TESLA, INC.</v>
    <v>219.98</v>
    <v>71.594300000000004</v>
    <v>219.27</v>
    <v>222.18</v>
    <v>3178921000</v>
    <v>TSLA</v>
    <v>TESLA, INC. (XNAS:TSLA)</v>
    <v>979100</v>
    <v>118674732</v>
    <v>2003</v>
  </rv>
  <rv s="1">
    <v>62</v>
  </rv>
  <rv s="2">
    <v>https://www.bing.com/financeapi/forcetrigger?t=a24nyc&amp;q=XNYS%3aTWLO&amp;form=skydnc</v>
    <v>Learn more on Bing</v>
  </rv>
  <rv s="4">
    <v>11</v>
    <v>TWILIO INC. (XNYS:TWLO)</v>
    <v>12</v>
    <v>18</v>
    <v>Finance</v>
    <v>17</v>
    <v>en-US</v>
    <v>a24nyc</v>
    <v>268435456</v>
    <v>1</v>
    <v>Powered by Refinitiv</v>
    <v>79.7</v>
    <v>42.547600000000003</v>
    <v>1.3325</v>
    <v>2.2000000000000002</v>
    <v>4.1346000000000001E-2</v>
    <v>USD</v>
    <v>Twilio Inc. offers cloud communications platform, which enables developers to build, scale, and deploy real-time communications within software applications. The Company provides customer engagement platform (CEP), which comprises a suite of flexible software and communications solutions that allow businesses to deliver trusted and engaging customer experiences at scale. Its application programming interfaces (APIs) and software products include Twilio Flex and Twilio Engage. It operates through two business units: Twilio Communications and Twilio Data &amp; Applications. Its communications solutions consist of customizable APIs and products that can be used individually or in combination to build contextual communications within applications. Its communication products include Twilio Programmable Messaging (MessagingX), Twilio Programmable Voice, Twilio SendGrid Email API and Twilio Verify. Its data and applications products include Twilio Segment, Twilio Engage and Twilio Flex.</v>
    <v>8156</v>
    <v>New York Stock Exchange</v>
    <v>XNYS</v>
    <v>XNYS</v>
    <v>101 SPEAR STREET, SUITE 500, SAN FRANCISCO, CA, 94105 US</v>
    <v>56.22</v>
    <v>Software &amp; IT Services</v>
    <v>Stock</v>
    <v>45238.041408865625</v>
    <v>64</v>
    <v>54.44</v>
    <v>10035665265</v>
    <v>TWILIO INC.</v>
    <v>TWILIO INC.</v>
    <v>55.11</v>
    <v>53.21</v>
    <v>55.41</v>
    <v>181116500</v>
    <v>TWLO</v>
    <v>TWILIO INC. (XNYS:TWLO)</v>
    <v>68856</v>
    <v>2036453</v>
    <v>2008</v>
  </rv>
  <rv s="1">
    <v>65</v>
  </rv>
  <rv s="2">
    <v>https://www.bing.com/financeapi/forcetrigger?t=a2zvdm&amp;q=OTCM%3aUSEI&amp;form=skydnc</v>
    <v>Learn more on Bing</v>
  </rv>
  <rv s="11">
    <v>27</v>
    <v>US ENERGY INITIATIVES CORPORATION INC. (OTCM:USEI)</v>
    <v>12</v>
    <v>28</v>
    <v>Finance</v>
    <v>29</v>
    <v>en-US</v>
    <v>a2zvdm</v>
    <v>268435456</v>
    <v>1</v>
    <v>Powered by Refinitiv</v>
    <v>2.0000000000000001E-4</v>
    <v>9.9999999999999995E-7</v>
    <v>0</v>
    <v>USD</v>
    <v>US Energy Initiatives Corporation, Inc. is focused on marijuana (MJ), green energy and currencies. The Company intends to maintain some business in the MJ space but focus on green energy in conjunction with cryptographic currency and mining. The Company operates in green energy, cannabis, and cryptocurrency industries.</v>
    <v>32</v>
    <v>OTC Markets</v>
    <v>OTCM</v>
    <v>OTCM</v>
    <v>500 N. Rainbow Blvd. Suite 300, Las, VEGAS, NV, 89107 US</v>
    <v>9.9999999999999995E-7</v>
    <v>Renewable Energy</v>
    <v>Stock</v>
    <v>45224.006944444445</v>
    <v>67</v>
    <v>9.9999999999999995E-7</v>
    <v>6960</v>
    <v>US ENERGY INITIATIVES CORPORATION INC.</v>
    <v>US ENERGY INITIATIVES CORPORATION INC.</v>
    <v>9.9999999999999995E-7</v>
    <v>9.9999999999999995E-7</v>
    <v>9.9999999999999995E-7</v>
    <v>6956116000</v>
    <v>USEI</v>
    <v>US ENERGY INITIATIVES CORPORATION INC. (OTCM:USEI)</v>
    <v>15000</v>
    <v>1500</v>
    <v>2013</v>
  </rv>
  <rv s="1">
    <v>68</v>
  </rv>
  <rv s="2">
    <v>https://www.bing.com/financeapi/forcetrigger?t=a1p7lh&amp;q=XNAS%3aCASH&amp;form=skydnc</v>
    <v>Learn more on Bing</v>
  </rv>
  <rv s="5">
    <v>15</v>
    <v>Pathward Financial, Inc. (XNAS:CASH)</v>
    <v>12</v>
    <v>16</v>
    <v>Finance</v>
    <v>19</v>
    <v>en-US</v>
    <v>a1p7lh</v>
    <v>268435456</v>
    <v>1</v>
    <v>Powered by Refinitiv</v>
    <v>60.49</v>
    <v>39.75</v>
    <v>0.82969999999999999</v>
    <v>-0.76</v>
    <v>-1.5635E-2</v>
    <v>USD</v>
    <v>Pathward Financial, Inc. is a financial holding company, which operates through its subsidiary, Pathward, N.A. (the Bank). The Bank is a full-service banking company. The Bank operates through three segments: Consumer, Commercial and Corporate Services/Other. The Consumer segment includes the backend as a service (BaaS) business line, which collaborates with partners to navigate payment and lending needs. It provides prepaid cards, deposit accounts, payment processing and consumer lending. The Commercial segment includes the Company's commercial finance business line, which helps businesses access the funds they need. Its commercial financial products range is available through the four lending solutions: working capital, equipment finance, structured finance and insurance premium finance. The Corporate Services/Other segment includes certain shared services, as well as treasury-related functions, such as the investment portfolio, warehouse finance, wholesale deposits and borrowings.</v>
    <v>1139</v>
    <v>Nasdaq Stock Market</v>
    <v>XNAS</v>
    <v>XNAS</v>
    <v>5501 SOUTH BROADBAND LANE, P O BOX 1307, SIOUX FALLS, SD, 57108 US</v>
    <v>48.765000000000001</v>
    <v>Banking Services</v>
    <v>Stock</v>
    <v>45237.895282024998</v>
    <v>70</v>
    <v>47.744999999999997</v>
    <v>1252884303</v>
    <v>Pathward Financial, Inc.</v>
    <v>Pathward Financial, Inc.</v>
    <v>48.64</v>
    <v>7.9391999999999996</v>
    <v>48.61</v>
    <v>47.85</v>
    <v>26183580</v>
    <v>CASH</v>
    <v>Pathward Financial, Inc. (XNAS:CASH)</v>
    <v>143955</v>
    <v>167023</v>
    <v>1993</v>
  </rv>
  <rv s="1">
    <v>71</v>
  </rv>
</rvData>
</file>

<file path=xl/richData/rdrichvaluestructure.xml><?xml version="1.0" encoding="utf-8"?>
<rvStructures xmlns="http://schemas.microsoft.com/office/spreadsheetml/2017/richdata" count="12">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From currency" t="s"/>
    <k n="High"/>
    <k n="Instrument type" t="s"/>
    <k n="Last trade time"/>
    <k n="Low"/>
    <k n="Name" t="s"/>
    <k n="Open"/>
    <k n="Previous close"/>
    <k n="Price"/>
    <k n="Ticker symbol" t="s"/>
    <k n="UniqueName" t="s"/>
  </s>
  <s t="_linkedentity">
    <k n="%cvi" t="r"/>
  </s>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error">
    <k n="errorType" t="i"/>
    <k n="field" t="s"/>
    <k n="subType" t="i"/>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Change"/>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7">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Currency</v>
      <v t="s">Previous close</v>
      <v t="s">Open</v>
      <v t="s">High</v>
      <v t="s">Low</v>
      <v t="s">52 week high</v>
      <v t="s">52 week low</v>
      <v t="s">Volume</v>
      <v t="s">Volume average</v>
      <v t="s">Market cap</v>
      <v t="s">Shares outstanding</v>
      <v t="s">Description</v>
      <v t="s">Employees</v>
      <v t="s">Headquarters</v>
      <v t="s">Industry</v>
      <v t="s">Instrument type</v>
      <v t="s">Year incorporated</v>
      <v t="s">_Flags</v>
      <v t="s">UniqueName</v>
      <v t="s">_DisplayString</v>
      <v t="s">LearnMoreOnLink</v>
      <v t="s">ExchangeID</v>
      <v t="s">%ProviderInfo</v>
    </a>
  </spbArrays>
  <spbData count="30">
    <spb s="0">
      <v>0</v>
      <v>Name</v>
    </spb>
    <spb s="1">
      <v>0</v>
      <v>0</v>
      <v>0</v>
    </spb>
    <spb s="2">
      <v>1</v>
      <v>1</v>
    </spb>
    <spb s="3">
      <v>1</v>
      <v>1</v>
      <v>2</v>
      <v>1</v>
      <v>1</v>
      <v>1</v>
      <v>3</v>
      <v>1</v>
      <v>1</v>
      <v>1</v>
      <v>4</v>
      <v>5</v>
    </spb>
    <spb s="4">
      <v>GMT</v>
    </spb>
    <spb s="5">
      <v>1</v>
      <v>Name</v>
      <v>LearnMoreOnLink</v>
    </spb>
    <spb s="6">
      <v>1</v>
      <v>1</v>
      <v>1</v>
    </spb>
    <spb s="7">
      <v>6</v>
      <v>7</v>
      <v>6</v>
      <v>2</v>
      <v>6</v>
      <v>6</v>
      <v>6</v>
      <v>8</v>
      <v>3</v>
      <v>9</v>
      <v>6</v>
      <v>6</v>
      <v>3</v>
      <v>6</v>
      <v>8</v>
      <v>4</v>
      <v>5</v>
    </spb>
    <spb s="8">
      <v>BATS BZX Real-Time Last Price</v>
      <v>from previous close</v>
      <v>from previous close</v>
      <v>GMT</v>
    </spb>
    <spb s="9">
      <v>Delayed 15 minutes</v>
      <v>from previous close</v>
      <v>Source: Nasdaq</v>
      <v>from previous close</v>
      <v>GMT</v>
    </spb>
    <spb s="9">
      <v>Real-Time Nasdaq Last Sale</v>
      <v>from previous close</v>
      <v>Source: Nasdaq Last Sale</v>
      <v>from previous close</v>
      <v>GMT</v>
    </spb>
    <spb s="5">
      <v>2</v>
      <v>Name</v>
      <v>LearnMoreOnLink</v>
    </spb>
    <spb s="10">
      <v>1</v>
      <v>1</v>
      <v>1</v>
      <v>1</v>
    </spb>
    <spb s="11">
      <v>6</v>
      <v>7</v>
      <v>6</v>
      <v>2</v>
      <v>6</v>
      <v>6</v>
      <v>6</v>
      <v>8</v>
      <v>8</v>
      <v>3</v>
      <v>10</v>
      <v>6</v>
      <v>6</v>
      <v>6</v>
      <v>8</v>
      <v>4</v>
      <v>11</v>
      <v>5</v>
      <v>8</v>
    </spb>
    <spb s="8">
      <v>Delayed 15 minutes</v>
      <v>from previous close</v>
      <v>from previous close</v>
      <v>GMT</v>
    </spb>
    <spb s="5">
      <v>3</v>
      <v>Name</v>
      <v>LearnMoreOnLink</v>
    </spb>
    <spb s="12">
      <v>6</v>
      <v>7</v>
      <v>7</v>
      <v>6</v>
      <v>2</v>
      <v>6</v>
      <v>6</v>
      <v>6</v>
      <v>8</v>
      <v>8</v>
      <v>3</v>
      <v>9</v>
      <v>6</v>
      <v>6</v>
      <v>6</v>
      <v>8</v>
      <v>4</v>
      <v>11</v>
      <v>5</v>
      <v>8</v>
    </spb>
    <spb s="13">
      <v>Real-Time Nasdaq Last Sale</v>
      <v>from previous close</v>
      <v>from previous close</v>
      <v>Source: Nasdaq Last Sale</v>
      <v>GMT</v>
    </spb>
    <spb s="11">
      <v>6</v>
      <v>7</v>
      <v>6</v>
      <v>2</v>
      <v>6</v>
      <v>6</v>
      <v>6</v>
      <v>8</v>
      <v>8</v>
      <v>3</v>
      <v>9</v>
      <v>6</v>
      <v>6</v>
      <v>6</v>
      <v>8</v>
      <v>4</v>
      <v>11</v>
      <v>5</v>
      <v>8</v>
    </spb>
    <spb s="13">
      <v>Delayed 15 minutes</v>
      <v>from previous close</v>
      <v>from previous close</v>
      <v>Source: Nasdaq</v>
      <v>GMT</v>
    </spb>
    <spb s="5">
      <v>4</v>
      <v>Name</v>
      <v>LearnMoreOnLink</v>
    </spb>
    <spb s="14">
      <v>6</v>
      <v>7</v>
      <v>7</v>
      <v>6</v>
      <v>2</v>
      <v>6</v>
      <v>6</v>
      <v>6</v>
      <v>8</v>
      <v>3</v>
      <v>9</v>
      <v>6</v>
      <v>6</v>
      <v>6</v>
      <v>8</v>
      <v>4</v>
      <v>11</v>
      <v>5</v>
      <v>8</v>
    </spb>
    <spb s="5">
      <v>5</v>
      <v>Name</v>
      <v>LearnMoreOnLink</v>
    </spb>
    <spb s="15">
      <v>0</v>
      <v>0</v>
    </spb>
    <spb s="16">
      <v>23</v>
      <v>1</v>
      <v>1</v>
      <v>1</v>
      <v>1</v>
    </spb>
    <spb s="17">
      <v>6</v>
      <v>7</v>
      <v>7</v>
      <v>6</v>
      <v>2</v>
      <v>6</v>
      <v>12</v>
      <v>6</v>
      <v>6</v>
      <v>8</v>
      <v>8</v>
      <v>3</v>
      <v>9</v>
      <v>6</v>
      <v>6</v>
      <v>6</v>
      <v>8</v>
      <v>4</v>
      <v>11</v>
      <v>5</v>
      <v>8</v>
    </spb>
    <spb s="18">
      <v>Powered by Refinitiv</v>
    </spb>
    <spb s="5">
      <v>6</v>
      <v>Name</v>
      <v>LearnMoreOnLink</v>
    </spb>
    <spb s="19">
      <v>6</v>
      <v>6</v>
      <v>2</v>
      <v>6</v>
      <v>6</v>
      <v>6</v>
      <v>8</v>
      <v>8</v>
      <v>9</v>
      <v>6</v>
      <v>6</v>
      <v>6</v>
      <v>8</v>
      <v>4</v>
      <v>11</v>
      <v>5</v>
      <v>8</v>
    </spb>
    <spb s="20">
      <v>Delayed 15 minutes</v>
      <v>from previous close</v>
      <v>GMT</v>
    </spb>
  </spbData>
</supportingPropertyBags>
</file>

<file path=xl/richData/rdsupportingpropertybagstructure.xml><?xml version="1.0" encoding="utf-8"?>
<spbStructures xmlns="http://schemas.microsoft.com/office/spreadsheetml/2017/richdata2" count="21">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
    <k n="^Order" t="spba"/>
    <k n="TitleProperty" t="s"/>
    <k n="SubTitleProperty"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Change (%)" t="s"/>
    <k n="Last trade time" t="s"/>
  </s>
  <s>
    <k n="Price" t="s"/>
    <k n="Change" t="s"/>
    <k n="Exchange" t="s"/>
    <k n="Change (%)" t="s"/>
    <k n="Last trade time" t="s"/>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High" t="i"/>
    <k n="Name" t="i"/>
    <k n="Open" t="i"/>
    <k n="Price" t="i"/>
    <k n="Change" t="i"/>
    <k n="Volume" t="i"/>
    <k n="Employees" t="i"/>
    <k n="Market cap" t="i"/>
    <k n="52 week low" t="i"/>
    <k n="52 week high" t="i"/>
    <k n="Previous close" t="i"/>
    <k n="Volume average" t="i"/>
    <k n="Last trade time" t="i"/>
    <k n="Year incorporated" t="i"/>
    <k n="`%EntityServiceId" t="i"/>
    <k n="Shares outstanding" t="i"/>
  </s>
  <s>
    <k n="Price" t="s"/>
    <k n="Change"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_-[$$-es-CO]* #,##0.00_-;-[$$-es-CO]* #,##0.00_-;_-[$$-es-CO]* "-"??_-;_-@_-</rpv>
    </rSty>
    <rSty>
      <rpv i="1">1</rpv>
    </rSty>
    <rSty dxfid="3"/>
    <rSty dxfid="2"/>
    <rSty dxfid="0">
      <rpv i="0">0.00</rpv>
    </rSty>
    <rSty dxfid="1">
      <rpv i="0">_([$$-en-US]* #,##0.00_);_([$$-en-US]* (#,##0.00);_([$$-en-US]* "-"??_);_(@_)</rpv>
    </rSty>
    <rSty dxfid="5">
      <rpv i="0">#,##0.00</rpv>
    </rSty>
    <rSty dxfid="4">
      <rpv i="0">#,##0</rpv>
    </rSty>
    <rSty dxfid="1">
      <rpv i="0">_([$$-en-US]* #,##0_);_([$$-en-US]* (#,##0);_([$$-en-US]* "-"_);_(@_)</rpv>
    </rSty>
    <rSty dxfid="1">
      <rpv i="0">_([$$-en-AU]* #,##0_);_([$$-en-AU]* (#,##0);_([$$-en-AU]* "-"_);_(@_)</rpv>
    </rSty>
    <rSty dxfid="6">
      <rpv i="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2807D-6817-4C35-90DE-CFB15D57F4AA}">
  <dimension ref="A1:T43"/>
  <sheetViews>
    <sheetView tabSelected="1" zoomScaleNormal="85" workbookViewId="0">
      <selection activeCell="B47" sqref="B47"/>
    </sheetView>
  </sheetViews>
  <sheetFormatPr baseColWidth="10" defaultColWidth="8.83203125" defaultRowHeight="15" x14ac:dyDescent="0.2"/>
  <cols>
    <col min="1" max="1" width="9.1640625" customWidth="1"/>
    <col min="2" max="2" width="33.5" customWidth="1"/>
    <col min="3" max="3" width="13.6640625" bestFit="1" customWidth="1"/>
    <col min="4" max="4" width="57.33203125" bestFit="1" customWidth="1"/>
    <col min="5" max="6" width="15.33203125" bestFit="1" customWidth="1"/>
    <col min="7" max="7" width="16.6640625" bestFit="1" customWidth="1"/>
    <col min="8" max="9" width="16.6640625" customWidth="1"/>
    <col min="10" max="10" width="20.83203125" bestFit="1" customWidth="1"/>
    <col min="11" max="13" width="36.5" customWidth="1"/>
    <col min="14" max="15" width="20.83203125" customWidth="1"/>
    <col min="16" max="16" width="16.5" bestFit="1" customWidth="1"/>
    <col min="17" max="17" width="12.83203125" bestFit="1" customWidth="1"/>
    <col min="19" max="19" width="16.1640625" bestFit="1" customWidth="1"/>
  </cols>
  <sheetData>
    <row r="1" spans="1:20" ht="16" thickBot="1" x14ac:dyDescent="0.25">
      <c r="D1" t="e" vm="1">
        <v>#VALUE!</v>
      </c>
      <c r="E1" s="13" cm="1">
        <f t="array" ref="E1">+_FV(D1,"Price")</f>
        <v>4031.32</v>
      </c>
      <c r="G1" s="44">
        <f>+G3/E3</f>
        <v>0.91270000000000007</v>
      </c>
      <c r="H1" s="43"/>
      <c r="I1" s="7">
        <v>5.0000000000000001E-3</v>
      </c>
      <c r="J1">
        <f>90/360</f>
        <v>0.25</v>
      </c>
    </row>
    <row r="2" spans="1:20" x14ac:dyDescent="0.2">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9" t="s">
        <v>16</v>
      </c>
      <c r="R2" s="9" t="s">
        <v>17</v>
      </c>
      <c r="S2" s="9" t="s">
        <v>18</v>
      </c>
      <c r="T2" s="9" t="s">
        <v>19</v>
      </c>
    </row>
    <row r="3" spans="1:20" x14ac:dyDescent="0.2">
      <c r="A3" t="s">
        <v>20</v>
      </c>
      <c r="B3" t="s">
        <v>21</v>
      </c>
      <c r="C3" t="s">
        <v>22</v>
      </c>
      <c r="D3" s="42" t="s">
        <v>23</v>
      </c>
      <c r="E3" s="3">
        <v>148000</v>
      </c>
      <c r="F3" s="3">
        <v>139.44</v>
      </c>
      <c r="G3" s="3">
        <f>+E3*91.27/100</f>
        <v>135079.6</v>
      </c>
      <c r="H3" s="14">
        <v>46154</v>
      </c>
      <c r="I3" s="6" t="s">
        <v>24</v>
      </c>
      <c r="J3" s="3" t="s">
        <v>25</v>
      </c>
      <c r="K3" s="3" t="s">
        <v>25</v>
      </c>
      <c r="L3" s="3" t="s">
        <v>26</v>
      </c>
      <c r="M3" s="3" t="s">
        <v>27</v>
      </c>
      <c r="N3" s="4">
        <v>8.8999999999999996E-2</v>
      </c>
      <c r="O3" s="3"/>
      <c r="P3" s="4"/>
      <c r="Q3" s="4"/>
      <c r="R3" s="4"/>
    </row>
    <row r="4" spans="1:20" x14ac:dyDescent="0.2">
      <c r="A4" t="s">
        <v>20</v>
      </c>
      <c r="B4" t="s">
        <v>28</v>
      </c>
      <c r="C4" t="s">
        <v>29</v>
      </c>
      <c r="D4" s="21" t="e" vm="2">
        <v>#VALUE!</v>
      </c>
      <c r="E4" s="3">
        <v>3</v>
      </c>
      <c r="F4" s="3" cm="1">
        <f t="array" ref="F4">_FV(D4,"Price")</f>
        <v>34.909999999999997</v>
      </c>
      <c r="G4" s="3">
        <f t="shared" ref="G4:G14" si="0">+F4*E4</f>
        <v>104.72999999999999</v>
      </c>
      <c r="H4" s="3"/>
      <c r="I4" s="3" t="s">
        <v>24</v>
      </c>
      <c r="J4" s="3" t="s">
        <v>30</v>
      </c>
      <c r="K4" s="3" t="s">
        <v>31</v>
      </c>
      <c r="L4" s="3" t="s">
        <v>32</v>
      </c>
      <c r="M4" s="3" t="s">
        <v>27</v>
      </c>
      <c r="N4" s="4">
        <v>6.0900000000000003E-2</v>
      </c>
      <c r="O4" s="17">
        <f t="shared" ref="O4:O9" si="1">1/N4</f>
        <v>16.420361247947454</v>
      </c>
      <c r="P4" s="4" cm="1">
        <f t="array" ref="P4">_FV(D4,"Expense ratio",TRUE)</f>
        <v>1.5E-3</v>
      </c>
      <c r="Q4" s="3"/>
      <c r="T4" s="8">
        <f>+P4*G4</f>
        <v>0.15709499999999998</v>
      </c>
    </row>
    <row r="5" spans="1:20" x14ac:dyDescent="0.2">
      <c r="A5" t="s">
        <v>20</v>
      </c>
      <c r="B5" t="s">
        <v>28</v>
      </c>
      <c r="C5" t="s">
        <v>29</v>
      </c>
      <c r="D5" s="21" t="e" vm="3">
        <v>#VALUE!</v>
      </c>
      <c r="E5" s="3">
        <v>5</v>
      </c>
      <c r="F5" s="3" cm="1">
        <f t="array" ref="F5">_FV(D5,"Price")</f>
        <v>48.05</v>
      </c>
      <c r="G5" s="3">
        <f t="shared" si="0"/>
        <v>240.25</v>
      </c>
      <c r="H5" s="3"/>
      <c r="I5" s="3" t="s">
        <v>24</v>
      </c>
      <c r="J5" s="3" t="s">
        <v>33</v>
      </c>
      <c r="K5" s="3" t="s">
        <v>34</v>
      </c>
      <c r="L5" s="3" t="s">
        <v>32</v>
      </c>
      <c r="M5" s="3" t="s">
        <v>27</v>
      </c>
      <c r="N5" s="4">
        <v>2.9700000000000001E-2</v>
      </c>
      <c r="O5" s="17">
        <f t="shared" si="1"/>
        <v>33.670033670033668</v>
      </c>
      <c r="P5" s="4" cm="1">
        <f t="array" ref="P5">_FV(D5,"Expense ratio",TRUE)</f>
        <v>4.0000000000000002E-4</v>
      </c>
      <c r="Q5" s="3"/>
      <c r="T5" s="8">
        <f>+P5*G5</f>
        <v>9.6100000000000005E-2</v>
      </c>
    </row>
    <row r="6" spans="1:20" x14ac:dyDescent="0.2">
      <c r="A6" t="s">
        <v>20</v>
      </c>
      <c r="B6" t="s">
        <v>28</v>
      </c>
      <c r="C6" t="s">
        <v>29</v>
      </c>
      <c r="D6" s="21" t="e" vm="4">
        <v>#VALUE!</v>
      </c>
      <c r="E6" s="3">
        <v>4</v>
      </c>
      <c r="F6" s="3" cm="1">
        <f t="array" ref="F6">_FV(D6,"Price")</f>
        <v>103.65</v>
      </c>
      <c r="G6" s="3">
        <f t="shared" si="0"/>
        <v>414.6</v>
      </c>
      <c r="H6" s="3"/>
      <c r="I6" s="3" t="s">
        <v>24</v>
      </c>
      <c r="J6" s="3" t="s">
        <v>35</v>
      </c>
      <c r="K6" s="3" t="s">
        <v>36</v>
      </c>
      <c r="L6" s="3" t="s">
        <v>32</v>
      </c>
      <c r="M6" s="3" t="s">
        <v>27</v>
      </c>
      <c r="N6" s="4">
        <v>6.7000000000000002E-3</v>
      </c>
      <c r="O6" s="17">
        <f t="shared" si="1"/>
        <v>149.25373134328359</v>
      </c>
      <c r="P6" s="4" cm="1">
        <f t="array" ref="P6">_FV(D6,"Expense ratio",TRUE)</f>
        <v>7.000000000000001E-4</v>
      </c>
      <c r="Q6" s="3"/>
      <c r="T6" s="8">
        <f>+P6*G6</f>
        <v>0.29022000000000003</v>
      </c>
    </row>
    <row r="7" spans="1:20" x14ac:dyDescent="0.2">
      <c r="A7" t="s">
        <v>20</v>
      </c>
      <c r="B7" t="s">
        <v>28</v>
      </c>
      <c r="C7" t="s">
        <v>29</v>
      </c>
      <c r="D7" s="22" t="s">
        <v>37</v>
      </c>
      <c r="E7" s="3">
        <v>15</v>
      </c>
      <c r="F7" s="3">
        <v>102.58</v>
      </c>
      <c r="G7" s="3">
        <f t="shared" si="0"/>
        <v>1538.7</v>
      </c>
      <c r="H7" s="3"/>
      <c r="I7" s="3" t="s">
        <v>24</v>
      </c>
      <c r="J7" s="3" t="s">
        <v>35</v>
      </c>
      <c r="K7" s="3" t="s">
        <v>36</v>
      </c>
      <c r="L7" s="3" t="s">
        <v>32</v>
      </c>
      <c r="M7" s="3" t="s">
        <v>27</v>
      </c>
      <c r="N7" s="4">
        <v>2.0199999999999999E-2</v>
      </c>
      <c r="O7" s="17">
        <f t="shared" si="1"/>
        <v>49.504950495049506</v>
      </c>
    </row>
    <row r="8" spans="1:20" x14ac:dyDescent="0.2">
      <c r="A8" t="s">
        <v>20</v>
      </c>
      <c r="B8" t="s">
        <v>28</v>
      </c>
      <c r="C8" t="s">
        <v>29</v>
      </c>
      <c r="D8" s="21" t="e" vm="5">
        <v>#VALUE!</v>
      </c>
      <c r="E8" s="3">
        <v>7</v>
      </c>
      <c r="F8" s="3">
        <v>49.93</v>
      </c>
      <c r="G8" s="3">
        <f t="shared" si="0"/>
        <v>349.51</v>
      </c>
      <c r="H8" s="3"/>
      <c r="I8" s="3" t="s">
        <v>24</v>
      </c>
      <c r="J8" s="3" t="s">
        <v>35</v>
      </c>
      <c r="K8" s="3" t="s">
        <v>38</v>
      </c>
      <c r="L8" s="3" t="s">
        <v>32</v>
      </c>
      <c r="M8" s="3" t="s">
        <v>27</v>
      </c>
      <c r="N8" s="4">
        <v>4.0899999999999999E-2</v>
      </c>
      <c r="O8" s="17">
        <f t="shared" si="1"/>
        <v>24.449877750611247</v>
      </c>
    </row>
    <row r="9" spans="1:20" x14ac:dyDescent="0.2">
      <c r="A9" t="s">
        <v>20</v>
      </c>
      <c r="B9" t="s">
        <v>28</v>
      </c>
      <c r="C9" t="s">
        <v>29</v>
      </c>
      <c r="D9" s="21" t="e" vm="6">
        <v>#VALUE!</v>
      </c>
      <c r="E9" s="3">
        <v>11</v>
      </c>
      <c r="F9" s="3" cm="1">
        <f t="array" ref="F9">_FV(D9,"Price")</f>
        <v>22.08</v>
      </c>
      <c r="G9" s="3">
        <f t="shared" si="0"/>
        <v>242.88</v>
      </c>
      <c r="H9" s="3"/>
      <c r="I9" s="3" t="s">
        <v>24</v>
      </c>
      <c r="J9" s="3" t="s">
        <v>39</v>
      </c>
      <c r="K9" s="3" t="s">
        <v>40</v>
      </c>
      <c r="L9" s="3" t="s">
        <v>32</v>
      </c>
      <c r="M9" s="3" t="s">
        <v>27</v>
      </c>
      <c r="N9" s="4">
        <v>1.3899999999999999E-2</v>
      </c>
      <c r="O9" s="17">
        <f t="shared" si="1"/>
        <v>71.942446043165475</v>
      </c>
      <c r="P9" s="4" cm="1">
        <f t="array" ref="P9">_FV(D9,"Expense ratio",TRUE)</f>
        <v>5.0000000000000001E-4</v>
      </c>
      <c r="T9" s="8">
        <f>+P9*G9</f>
        <v>0.12144000000000001</v>
      </c>
    </row>
    <row r="10" spans="1:20" x14ac:dyDescent="0.2">
      <c r="A10" t="s">
        <v>20</v>
      </c>
      <c r="B10" t="s">
        <v>28</v>
      </c>
      <c r="C10" t="s">
        <v>29</v>
      </c>
      <c r="D10" s="21" t="e" vm="7">
        <v>#VALUE!</v>
      </c>
      <c r="E10" s="3">
        <v>31</v>
      </c>
      <c r="F10" s="3" cm="1">
        <f t="array" ref="F10">_FV(D10,"Price")</f>
        <v>96.72</v>
      </c>
      <c r="G10" s="3">
        <f t="shared" si="0"/>
        <v>2998.32</v>
      </c>
      <c r="H10" s="3"/>
      <c r="I10" s="3" t="s">
        <v>41</v>
      </c>
      <c r="J10" s="3" t="s">
        <v>42</v>
      </c>
      <c r="K10" s="3" t="s">
        <v>43</v>
      </c>
      <c r="L10" s="3" t="s">
        <v>32</v>
      </c>
      <c r="M10" s="3" t="s">
        <v>27</v>
      </c>
      <c r="N10" s="4">
        <v>0.01</v>
      </c>
      <c r="O10">
        <v>20.350000000000001</v>
      </c>
      <c r="P10" s="4" cm="1">
        <f t="array" ref="P10">_FV(D10,"Expense ratio",TRUE)</f>
        <v>4.0000000000000002E-4</v>
      </c>
    </row>
    <row r="11" spans="1:20" x14ac:dyDescent="0.2">
      <c r="A11" t="s">
        <v>20</v>
      </c>
      <c r="B11" t="s">
        <v>28</v>
      </c>
      <c r="C11" t="s">
        <v>29</v>
      </c>
      <c r="D11" s="21" t="e" vm="8">
        <v>#VALUE!</v>
      </c>
      <c r="E11" s="3">
        <v>49</v>
      </c>
      <c r="F11" s="3" cm="1">
        <f t="array" ref="F11">_FV(D11,"Price")</f>
        <v>76.03</v>
      </c>
      <c r="G11" s="3">
        <f t="shared" si="0"/>
        <v>3725.4700000000003</v>
      </c>
      <c r="H11" s="3"/>
      <c r="I11" s="3" t="s">
        <v>41</v>
      </c>
      <c r="J11" s="3" t="s">
        <v>42</v>
      </c>
      <c r="K11" s="3" t="s">
        <v>44</v>
      </c>
      <c r="L11" s="3" t="s">
        <v>32</v>
      </c>
      <c r="M11" s="3" t="s">
        <v>27</v>
      </c>
      <c r="N11" s="4">
        <v>2.4299999999999999E-2</v>
      </c>
      <c r="O11">
        <v>15.38</v>
      </c>
      <c r="P11" s="4" cm="1">
        <f t="array" ref="P11">_FV(D11,"Expense ratio",TRUE)</f>
        <v>4.0000000000000002E-4</v>
      </c>
      <c r="T11" s="8">
        <f>+P11*G11</f>
        <v>1.4901880000000001</v>
      </c>
    </row>
    <row r="12" spans="1:20" x14ac:dyDescent="0.2">
      <c r="A12" t="s">
        <v>20</v>
      </c>
      <c r="B12" t="s">
        <v>28</v>
      </c>
      <c r="C12" t="s">
        <v>29</v>
      </c>
      <c r="D12" s="21" t="e" vm="9">
        <v>#VALUE!</v>
      </c>
      <c r="E12" s="3">
        <v>19</v>
      </c>
      <c r="F12" s="3" cm="1">
        <f t="array" ref="F12">_FV(D12,"Price")</f>
        <v>39.64</v>
      </c>
      <c r="G12" s="3">
        <f t="shared" si="0"/>
        <v>753.16</v>
      </c>
      <c r="H12" s="3"/>
      <c r="I12" s="3" t="s">
        <v>41</v>
      </c>
      <c r="J12" s="3" t="s">
        <v>45</v>
      </c>
      <c r="K12" s="3" t="s">
        <v>46</v>
      </c>
      <c r="L12" s="3" t="s">
        <v>47</v>
      </c>
      <c r="M12" s="3" t="s">
        <v>27</v>
      </c>
      <c r="N12" s="4">
        <v>3.95E-2</v>
      </c>
      <c r="O12">
        <v>11.15</v>
      </c>
      <c r="P12" s="4" cm="1">
        <f t="array" ref="P12">_FV(D12,"Expense ratio",TRUE)</f>
        <v>8.0000000000000004E-4</v>
      </c>
      <c r="T12" s="8">
        <f>+P12*G12</f>
        <v>0.60252799999999995</v>
      </c>
    </row>
    <row r="13" spans="1:20" x14ac:dyDescent="0.2">
      <c r="A13" t="s">
        <v>20</v>
      </c>
      <c r="B13" t="s">
        <v>28</v>
      </c>
      <c r="C13" t="s">
        <v>29</v>
      </c>
      <c r="D13" s="21" t="e" vm="10">
        <v>#VALUE!</v>
      </c>
      <c r="E13" s="3">
        <v>47</v>
      </c>
      <c r="F13" s="3" cm="1">
        <f t="array" ref="F13">_FV(D13,"Price")</f>
        <v>43.72</v>
      </c>
      <c r="G13" s="3">
        <f t="shared" si="0"/>
        <v>2054.84</v>
      </c>
      <c r="H13" s="3"/>
      <c r="I13" s="3" t="s">
        <v>41</v>
      </c>
      <c r="J13" s="3" t="s">
        <v>48</v>
      </c>
      <c r="K13" s="3" t="s">
        <v>49</v>
      </c>
      <c r="L13" s="3" t="s">
        <v>50</v>
      </c>
      <c r="M13" s="3" t="s">
        <v>27</v>
      </c>
      <c r="N13" s="4">
        <v>4.1300000000000003E-2</v>
      </c>
      <c r="O13">
        <v>11.82</v>
      </c>
      <c r="P13" s="4" cm="1">
        <f t="array" ref="P13">_FV(D13,"Expense ratio",TRUE)</f>
        <v>5.0000000000000001E-4</v>
      </c>
      <c r="T13" s="8">
        <f>+P13*G13</f>
        <v>1.02742</v>
      </c>
    </row>
    <row r="14" spans="1:20" x14ac:dyDescent="0.2">
      <c r="A14" t="s">
        <v>20</v>
      </c>
      <c r="B14" t="s">
        <v>28</v>
      </c>
      <c r="C14" t="s">
        <v>29</v>
      </c>
      <c r="D14" s="21" t="e" vm="11">
        <v>#VALUE!</v>
      </c>
      <c r="E14" s="3">
        <v>8</v>
      </c>
      <c r="F14" s="3" cm="1">
        <f t="array" ref="F14">_FV(D14,"Price")</f>
        <v>69.510000000000005</v>
      </c>
      <c r="G14" s="3">
        <f t="shared" si="0"/>
        <v>556.08000000000004</v>
      </c>
      <c r="H14" s="3"/>
      <c r="I14" s="3" t="s">
        <v>41</v>
      </c>
      <c r="J14" s="3" t="s">
        <v>48</v>
      </c>
      <c r="K14" s="3" t="s">
        <v>49</v>
      </c>
      <c r="L14" s="3" t="s">
        <v>50</v>
      </c>
      <c r="M14" s="3" t="s">
        <v>27</v>
      </c>
      <c r="N14" s="4">
        <v>1.6500000000000001E-2</v>
      </c>
      <c r="O14">
        <v>11.79</v>
      </c>
      <c r="P14" s="4" cm="1">
        <f t="array" ref="P14">_FV(D14,"Expense ratio",TRUE)</f>
        <v>1E-3</v>
      </c>
      <c r="T14" s="8">
        <f>+P14*G14</f>
        <v>0.55608000000000002</v>
      </c>
    </row>
    <row r="15" spans="1:20" x14ac:dyDescent="0.2">
      <c r="A15" t="s">
        <v>20</v>
      </c>
      <c r="B15" t="s">
        <v>28</v>
      </c>
      <c r="C15" t="s">
        <v>51</v>
      </c>
      <c r="D15" s="5" t="s">
        <v>52</v>
      </c>
      <c r="F15" s="3"/>
      <c r="G15" s="3">
        <v>6694.84</v>
      </c>
      <c r="H15" s="3"/>
      <c r="I15" s="3" t="s">
        <v>52</v>
      </c>
      <c r="J15" s="3" t="s">
        <v>52</v>
      </c>
      <c r="K15" s="3" t="s">
        <v>52</v>
      </c>
      <c r="L15" s="3" t="s">
        <v>32</v>
      </c>
      <c r="M15" s="3" t="s">
        <v>27</v>
      </c>
      <c r="N15" s="4">
        <v>0</v>
      </c>
    </row>
    <row r="16" spans="1:20" x14ac:dyDescent="0.2">
      <c r="A16" t="s">
        <v>20</v>
      </c>
      <c r="B16" t="s">
        <v>28</v>
      </c>
      <c r="C16" t="s">
        <v>29</v>
      </c>
      <c r="D16" s="5" t="s">
        <v>53</v>
      </c>
      <c r="F16" s="3"/>
      <c r="G16" s="3">
        <v>845</v>
      </c>
      <c r="H16" s="3"/>
      <c r="I16" s="3" t="s">
        <v>52</v>
      </c>
      <c r="J16" s="3" t="s">
        <v>52</v>
      </c>
      <c r="K16" s="3" t="s">
        <v>52</v>
      </c>
      <c r="L16" s="3" t="s">
        <v>32</v>
      </c>
      <c r="M16" s="3" t="s">
        <v>27</v>
      </c>
      <c r="N16" s="4"/>
    </row>
    <row r="17" spans="1:15" x14ac:dyDescent="0.2">
      <c r="A17" t="s">
        <v>20</v>
      </c>
      <c r="B17" t="s">
        <v>28</v>
      </c>
      <c r="C17" t="s">
        <v>51</v>
      </c>
      <c r="D17" s="21" t="e" vm="12">
        <v>#VALUE!</v>
      </c>
      <c r="E17" s="3">
        <v>150000</v>
      </c>
      <c r="F17" s="2" cm="1">
        <f t="array" ref="F17">_FV(D17,"Price")</f>
        <v>4.4999999999999997E-3</v>
      </c>
      <c r="G17" s="3">
        <f t="shared" ref="G17:G27" si="2">+F17*E17</f>
        <v>675</v>
      </c>
      <c r="H17" s="3"/>
      <c r="I17" s="3" t="s">
        <v>41</v>
      </c>
      <c r="J17" s="3" t="s">
        <v>54</v>
      </c>
      <c r="K17" t="e" vm="12">
        <f>+D17</f>
        <v>#VALUE!</v>
      </c>
      <c r="L17" s="3" t="s">
        <v>32</v>
      </c>
      <c r="M17" s="3" t="s">
        <v>27</v>
      </c>
      <c r="N17" s="1">
        <v>0</v>
      </c>
      <c r="O17" s="4">
        <v>0</v>
      </c>
    </row>
    <row r="18" spans="1:15" x14ac:dyDescent="0.2">
      <c r="A18" t="s">
        <v>20</v>
      </c>
      <c r="B18" t="s">
        <v>28</v>
      </c>
      <c r="C18" t="s">
        <v>51</v>
      </c>
      <c r="D18" s="21" t="e" vm="13">
        <v>#VALUE!</v>
      </c>
      <c r="E18" s="3">
        <v>100</v>
      </c>
      <c r="F18" s="2" cm="1">
        <f t="array" ref="F18">_FV(D18,"Price")</f>
        <v>142.71</v>
      </c>
      <c r="G18" s="3">
        <f t="shared" si="2"/>
        <v>14271</v>
      </c>
      <c r="H18" s="3"/>
      <c r="I18" s="3" t="s">
        <v>41</v>
      </c>
      <c r="J18" s="3" t="s">
        <v>54</v>
      </c>
      <c r="K18" t="e" vm="13">
        <f t="shared" ref="K18:K27" si="3">+D18</f>
        <v>#VALUE!</v>
      </c>
      <c r="L18" s="3" t="s">
        <v>32</v>
      </c>
      <c r="M18" s="3" t="s">
        <v>27</v>
      </c>
      <c r="N18" s="4">
        <v>0</v>
      </c>
      <c r="O18" s="2" cm="1">
        <f t="array" ref="O18">_FV(D18,"P/E",TRUE)</f>
        <v>74.505099999999999</v>
      </c>
    </row>
    <row r="19" spans="1:15" x14ac:dyDescent="0.2">
      <c r="A19" t="s">
        <v>20</v>
      </c>
      <c r="B19" t="s">
        <v>28</v>
      </c>
      <c r="C19" t="s">
        <v>51</v>
      </c>
      <c r="D19" s="21" t="e" vm="14">
        <v>#VALUE!</v>
      </c>
      <c r="E19" s="3">
        <v>7</v>
      </c>
      <c r="F19" s="2" cm="1">
        <f t="array" ref="F19">_FV(D19,"Price")</f>
        <v>191.41</v>
      </c>
      <c r="G19" s="3">
        <f t="shared" si="2"/>
        <v>1339.87</v>
      </c>
      <c r="H19" s="3"/>
      <c r="I19" s="3" t="s">
        <v>41</v>
      </c>
      <c r="J19" s="3" t="s">
        <v>55</v>
      </c>
      <c r="K19" t="e" vm="14">
        <f t="shared" si="3"/>
        <v>#VALUE!</v>
      </c>
      <c r="L19" s="3" t="s">
        <v>32</v>
      </c>
      <c r="M19" s="3" t="s">
        <v>27</v>
      </c>
      <c r="N19" s="4">
        <v>0</v>
      </c>
      <c r="O19" s="2" t="e" cm="1" vm="15">
        <f t="array" ref="O19">_FV(D19,"P/E",TRUE)</f>
        <v>#VALUE!</v>
      </c>
    </row>
    <row r="20" spans="1:15" x14ac:dyDescent="0.2">
      <c r="A20" t="s">
        <v>20</v>
      </c>
      <c r="B20" t="s">
        <v>28</v>
      </c>
      <c r="C20" t="s">
        <v>51</v>
      </c>
      <c r="D20" s="21" t="e" vm="16">
        <v>#VALUE!</v>
      </c>
      <c r="E20" s="3">
        <v>10</v>
      </c>
      <c r="F20" s="2" cm="1">
        <f t="array" ref="F20">_FV(D20,"Price")</f>
        <v>41.08</v>
      </c>
      <c r="G20" s="3">
        <f t="shared" si="2"/>
        <v>410.79999999999995</v>
      </c>
      <c r="H20" s="3"/>
      <c r="I20" s="3" t="s">
        <v>41</v>
      </c>
      <c r="J20" s="3" t="s">
        <v>54</v>
      </c>
      <c r="K20" t="e" vm="16">
        <f t="shared" si="3"/>
        <v>#VALUE!</v>
      </c>
      <c r="L20" s="3" t="s">
        <v>32</v>
      </c>
      <c r="M20" s="3" t="s">
        <v>27</v>
      </c>
      <c r="N20" s="4">
        <v>0</v>
      </c>
      <c r="O20" s="2">
        <v>0</v>
      </c>
    </row>
    <row r="21" spans="1:15" x14ac:dyDescent="0.2">
      <c r="A21" t="s">
        <v>20</v>
      </c>
      <c r="B21" t="s">
        <v>28</v>
      </c>
      <c r="C21" t="s">
        <v>51</v>
      </c>
      <c r="D21" s="21" t="e" vm="17">
        <v>#VALUE!</v>
      </c>
      <c r="E21" s="3">
        <v>120</v>
      </c>
      <c r="F21" s="2" cm="1">
        <f t="array" ref="F21">_FV(D21,"Price")</f>
        <v>28.1</v>
      </c>
      <c r="G21" s="3">
        <f t="shared" si="2"/>
        <v>3372</v>
      </c>
      <c r="H21" s="3"/>
      <c r="I21" s="3" t="s">
        <v>41</v>
      </c>
      <c r="J21" s="3" t="s">
        <v>54</v>
      </c>
      <c r="K21" t="e" vm="17">
        <f t="shared" si="3"/>
        <v>#VALUE!</v>
      </c>
      <c r="L21" s="3" t="s">
        <v>32</v>
      </c>
      <c r="M21" s="3" t="s">
        <v>27</v>
      </c>
      <c r="N21" s="4">
        <v>0</v>
      </c>
      <c r="O21" s="2" cm="1">
        <f t="array" ref="O21">_FV(D21,"P/E",TRUE)</f>
        <v>4.3662000000000001</v>
      </c>
    </row>
    <row r="22" spans="1:15" x14ac:dyDescent="0.2">
      <c r="A22" t="s">
        <v>20</v>
      </c>
      <c r="B22" t="s">
        <v>28</v>
      </c>
      <c r="C22" t="s">
        <v>51</v>
      </c>
      <c r="D22" s="21" t="e" vm="18">
        <v>#VALUE!</v>
      </c>
      <c r="E22" s="3">
        <v>15</v>
      </c>
      <c r="F22" s="2" cm="1">
        <f t="array" ref="F22">_FV(D22,"Price")</f>
        <v>360.53</v>
      </c>
      <c r="G22" s="3">
        <f t="shared" si="2"/>
        <v>5407.95</v>
      </c>
      <c r="H22" s="3"/>
      <c r="I22" s="3" t="s">
        <v>41</v>
      </c>
      <c r="J22" s="3" t="s">
        <v>54</v>
      </c>
      <c r="K22" t="e" vm="18">
        <f t="shared" si="3"/>
        <v>#VALUE!</v>
      </c>
      <c r="L22" s="3" t="s">
        <v>32</v>
      </c>
      <c r="M22" s="3" t="s">
        <v>27</v>
      </c>
      <c r="N22" s="7">
        <v>2.7199999999999998E-2</v>
      </c>
      <c r="O22" s="2" cm="1">
        <f t="array" ref="O22">_FV(D22,"P/E",TRUE)</f>
        <v>34.913200000000003</v>
      </c>
    </row>
    <row r="23" spans="1:15" x14ac:dyDescent="0.2">
      <c r="A23" t="s">
        <v>20</v>
      </c>
      <c r="B23" t="s">
        <v>28</v>
      </c>
      <c r="C23" t="s">
        <v>51</v>
      </c>
      <c r="D23" s="21" t="e" vm="19">
        <v>#VALUE!</v>
      </c>
      <c r="E23" s="3">
        <v>10</v>
      </c>
      <c r="F23" s="2" cm="1">
        <f t="array" ref="F23">_FV(D23,"Price")</f>
        <v>434.61</v>
      </c>
      <c r="G23" s="3">
        <f t="shared" si="2"/>
        <v>4346.1000000000004</v>
      </c>
      <c r="H23" s="3"/>
      <c r="I23" s="3" t="s">
        <v>41</v>
      </c>
      <c r="J23" s="3" t="s">
        <v>54</v>
      </c>
      <c r="K23" t="e" vm="19">
        <f t="shared" si="3"/>
        <v>#VALUE!</v>
      </c>
      <c r="L23" s="3" t="s">
        <v>32</v>
      </c>
      <c r="M23" s="3" t="s">
        <v>27</v>
      </c>
      <c r="N23" s="7">
        <v>0</v>
      </c>
      <c r="O23" s="2" cm="1">
        <f t="array" ref="O23">_FV(D23,"P/E",TRUE)</f>
        <v>47.1785</v>
      </c>
    </row>
    <row r="24" spans="1:15" x14ac:dyDescent="0.2">
      <c r="A24" t="s">
        <v>20</v>
      </c>
      <c r="B24" t="s">
        <v>28</v>
      </c>
      <c r="C24" t="s">
        <v>51</v>
      </c>
      <c r="D24" s="21" t="e" vm="20">
        <v>#VALUE!</v>
      </c>
      <c r="E24" s="3">
        <v>50</v>
      </c>
      <c r="F24" s="2" cm="1">
        <f t="array" ref="F24">_FV(D24,"Price")</f>
        <v>1.03</v>
      </c>
      <c r="G24" s="3">
        <f t="shared" si="2"/>
        <v>51.5</v>
      </c>
      <c r="H24" s="3"/>
      <c r="I24" s="3" t="s">
        <v>41</v>
      </c>
      <c r="J24" s="3" t="s">
        <v>54</v>
      </c>
      <c r="K24" t="e" vm="20">
        <f t="shared" si="3"/>
        <v>#VALUE!</v>
      </c>
      <c r="L24" s="3" t="s">
        <v>32</v>
      </c>
      <c r="M24" s="3" t="s">
        <v>27</v>
      </c>
      <c r="N24" s="7">
        <v>0</v>
      </c>
      <c r="O24" s="2">
        <v>0</v>
      </c>
    </row>
    <row r="25" spans="1:15" x14ac:dyDescent="0.2">
      <c r="A25" t="s">
        <v>20</v>
      </c>
      <c r="B25" t="s">
        <v>28</v>
      </c>
      <c r="C25" t="s">
        <v>51</v>
      </c>
      <c r="D25" s="21" t="e" vm="21">
        <v>#VALUE!</v>
      </c>
      <c r="E25" s="3">
        <v>45</v>
      </c>
      <c r="F25" s="2" cm="1">
        <f t="array" ref="F25">_FV(D25,"Price")</f>
        <v>222.18</v>
      </c>
      <c r="G25" s="3">
        <f t="shared" si="2"/>
        <v>9998.1</v>
      </c>
      <c r="H25" s="3"/>
      <c r="I25" s="3" t="s">
        <v>41</v>
      </c>
      <c r="J25" s="3" t="s">
        <v>54</v>
      </c>
      <c r="K25" t="e" vm="21">
        <f t="shared" si="3"/>
        <v>#VALUE!</v>
      </c>
      <c r="L25" s="3" t="s">
        <v>32</v>
      </c>
      <c r="M25" s="3" t="s">
        <v>27</v>
      </c>
      <c r="N25" s="7">
        <v>0</v>
      </c>
      <c r="O25" s="2" cm="1">
        <f t="array" ref="O25">_FV(D25,"P/E",TRUE)</f>
        <v>71.594300000000004</v>
      </c>
    </row>
    <row r="26" spans="1:15" x14ac:dyDescent="0.2">
      <c r="A26" t="s">
        <v>20</v>
      </c>
      <c r="B26" t="s">
        <v>28</v>
      </c>
      <c r="C26" t="s">
        <v>51</v>
      </c>
      <c r="D26" s="21" t="e" vm="22">
        <v>#VALUE!</v>
      </c>
      <c r="E26" s="3">
        <v>10</v>
      </c>
      <c r="F26" s="2" cm="1">
        <f t="array" ref="F26">_FV(D26,"Price")</f>
        <v>55.41</v>
      </c>
      <c r="G26" s="3">
        <f t="shared" si="2"/>
        <v>554.09999999999991</v>
      </c>
      <c r="H26" s="3"/>
      <c r="I26" s="3" t="s">
        <v>41</v>
      </c>
      <c r="J26" s="3" t="s">
        <v>54</v>
      </c>
      <c r="K26" t="e" vm="22">
        <f t="shared" si="3"/>
        <v>#VALUE!</v>
      </c>
      <c r="L26" s="3" t="s">
        <v>32</v>
      </c>
      <c r="M26" s="3" t="s">
        <v>27</v>
      </c>
      <c r="N26" s="7">
        <v>0</v>
      </c>
      <c r="O26" s="2" t="e" cm="1" vm="15">
        <f t="array" ref="O26">_FV(D26,"P/E",TRUE)</f>
        <v>#VALUE!</v>
      </c>
    </row>
    <row r="27" spans="1:15" x14ac:dyDescent="0.2">
      <c r="A27" t="s">
        <v>20</v>
      </c>
      <c r="B27" t="s">
        <v>28</v>
      </c>
      <c r="C27" t="s">
        <v>51</v>
      </c>
      <c r="D27" s="21" t="e" vm="23">
        <v>#VALUE!</v>
      </c>
      <c r="E27" s="3">
        <v>75000</v>
      </c>
      <c r="F27" s="2" cm="1">
        <f t="array" ref="F27">_FV(D27,"Price")</f>
        <v>9.9999999999999995E-7</v>
      </c>
      <c r="G27" s="3">
        <f t="shared" si="2"/>
        <v>7.4999999999999997E-2</v>
      </c>
      <c r="H27" s="3"/>
      <c r="I27" s="3" t="s">
        <v>41</v>
      </c>
      <c r="J27" s="3" t="s">
        <v>54</v>
      </c>
      <c r="K27" t="e" vm="23">
        <f t="shared" si="3"/>
        <v>#VALUE!</v>
      </c>
      <c r="L27" s="3" t="s">
        <v>32</v>
      </c>
      <c r="M27" s="3" t="s">
        <v>27</v>
      </c>
      <c r="N27" s="7">
        <v>0</v>
      </c>
      <c r="O27" s="2">
        <v>0</v>
      </c>
    </row>
    <row r="28" spans="1:15" x14ac:dyDescent="0.2">
      <c r="A28" t="s">
        <v>56</v>
      </c>
      <c r="B28" t="s">
        <v>57</v>
      </c>
      <c r="C28" t="s">
        <v>22</v>
      </c>
      <c r="D28" t="s">
        <v>58</v>
      </c>
      <c r="E28" s="3">
        <v>12553</v>
      </c>
      <c r="F28" s="8">
        <f>171139180.41/E28</f>
        <v>13633.329117342468</v>
      </c>
      <c r="G28" s="6">
        <f>+F28*E28/COP</f>
        <v>42452.392866356429</v>
      </c>
      <c r="H28" s="15"/>
      <c r="I28" s="6" t="s">
        <v>41</v>
      </c>
      <c r="J28" s="6" t="s">
        <v>59</v>
      </c>
      <c r="K28" s="6" t="s">
        <v>26</v>
      </c>
      <c r="L28" s="3" t="s">
        <v>26</v>
      </c>
      <c r="M28" s="3" t="s">
        <v>60</v>
      </c>
      <c r="N28" s="1"/>
      <c r="O28" s="17"/>
    </row>
    <row r="29" spans="1:15" x14ac:dyDescent="0.2">
      <c r="A29" t="s">
        <v>56</v>
      </c>
      <c r="B29" t="s">
        <v>61</v>
      </c>
      <c r="C29" t="s">
        <v>22</v>
      </c>
      <c r="D29" t="s">
        <v>62</v>
      </c>
      <c r="E29" s="3">
        <v>250000000</v>
      </c>
      <c r="F29" s="37">
        <f>233192200/E29</f>
        <v>0.93276879999999995</v>
      </c>
      <c r="G29" s="6">
        <f>+F29*E29/COP</f>
        <v>57845.122689342446</v>
      </c>
      <c r="H29" s="15">
        <v>47176</v>
      </c>
      <c r="I29" s="6" t="s">
        <v>24</v>
      </c>
      <c r="J29" s="6" t="s">
        <v>63</v>
      </c>
      <c r="K29" s="6" t="s">
        <v>64</v>
      </c>
      <c r="L29" s="3" t="s">
        <v>26</v>
      </c>
      <c r="M29" s="3" t="s">
        <v>27</v>
      </c>
      <c r="N29" s="7">
        <v>0.1825</v>
      </c>
      <c r="O29" s="17"/>
    </row>
    <row r="30" spans="1:15" x14ac:dyDescent="0.2">
      <c r="A30" t="s">
        <v>56</v>
      </c>
      <c r="B30" t="s">
        <v>61</v>
      </c>
      <c r="C30" t="s">
        <v>22</v>
      </c>
      <c r="D30" t="s">
        <v>62</v>
      </c>
      <c r="E30" s="3">
        <v>85000000</v>
      </c>
      <c r="F30" s="37">
        <f>95660734/E30</f>
        <v>1.1254204000000001</v>
      </c>
      <c r="G30" s="6">
        <f>+F30*E30/COP</f>
        <v>23729.382435529806</v>
      </c>
      <c r="H30" s="15">
        <v>50311</v>
      </c>
      <c r="I30" s="6" t="s">
        <v>24</v>
      </c>
      <c r="J30" s="6" t="s">
        <v>63</v>
      </c>
      <c r="K30" s="6" t="s">
        <v>64</v>
      </c>
      <c r="L30" s="3" t="s">
        <v>26</v>
      </c>
      <c r="M30" s="3" t="s">
        <v>27</v>
      </c>
      <c r="N30" s="1">
        <f>10.99%+7.1%</f>
        <v>0.18090000000000001</v>
      </c>
      <c r="O30" s="17">
        <f>1/N30</f>
        <v>5.5279159756771694</v>
      </c>
    </row>
    <row r="31" spans="1:15" x14ac:dyDescent="0.2">
      <c r="A31" t="s">
        <v>56</v>
      </c>
      <c r="B31" t="s">
        <v>57</v>
      </c>
      <c r="C31" t="s">
        <v>22</v>
      </c>
      <c r="D31" t="s">
        <v>62</v>
      </c>
      <c r="E31" s="3">
        <v>250000000</v>
      </c>
      <c r="F31" s="37">
        <f>236328900/E31</f>
        <v>0.94531560000000003</v>
      </c>
      <c r="G31" s="6">
        <f>+F31*E31/COP</f>
        <v>58623.205302481569</v>
      </c>
      <c r="H31" s="15">
        <v>47176</v>
      </c>
      <c r="I31" s="6" t="s">
        <v>24</v>
      </c>
      <c r="J31" s="6" t="s">
        <v>63</v>
      </c>
      <c r="K31" s="6" t="s">
        <v>64</v>
      </c>
      <c r="L31" s="3" t="s">
        <v>26</v>
      </c>
      <c r="M31" s="3" t="s">
        <v>27</v>
      </c>
      <c r="N31" s="1">
        <v>0.12</v>
      </c>
      <c r="O31" s="17"/>
    </row>
    <row r="32" spans="1:15" x14ac:dyDescent="0.2">
      <c r="A32" t="s">
        <v>56</v>
      </c>
      <c r="B32" t="s">
        <v>21</v>
      </c>
      <c r="C32" t="s">
        <v>22</v>
      </c>
      <c r="D32" t="s">
        <v>65</v>
      </c>
      <c r="E32" s="6">
        <v>71.7</v>
      </c>
      <c r="F32" s="6">
        <v>22467</v>
      </c>
      <c r="G32" s="6">
        <f>+E32*F32/COP</f>
        <v>399.59216832203845</v>
      </c>
      <c r="I32" s="6" t="s">
        <v>24</v>
      </c>
      <c r="J32" s="3" t="s">
        <v>26</v>
      </c>
      <c r="K32" s="3" t="s">
        <v>26</v>
      </c>
      <c r="L32" s="3" t="s">
        <v>26</v>
      </c>
      <c r="M32" t="s">
        <v>60</v>
      </c>
      <c r="N32">
        <v>12</v>
      </c>
    </row>
    <row r="33" spans="1:14" x14ac:dyDescent="0.2">
      <c r="A33" t="s">
        <v>56</v>
      </c>
      <c r="B33" t="s">
        <v>61</v>
      </c>
      <c r="C33" t="s">
        <v>22</v>
      </c>
      <c r="D33" t="s">
        <v>66</v>
      </c>
      <c r="E33" s="3">
        <v>275.62</v>
      </c>
      <c r="F33" s="3">
        <v>8839</v>
      </c>
      <c r="G33" s="3">
        <f>2436339.21/COP</f>
        <v>604.35272069694292</v>
      </c>
      <c r="H33" s="3"/>
      <c r="I33" s="3" t="s">
        <v>41</v>
      </c>
      <c r="J33" s="3" t="s">
        <v>26</v>
      </c>
      <c r="K33" s="3" t="s">
        <v>26</v>
      </c>
      <c r="L33" s="3" t="s">
        <v>26</v>
      </c>
      <c r="M33" t="s">
        <v>12</v>
      </c>
    </row>
    <row r="34" spans="1:14" x14ac:dyDescent="0.2">
      <c r="A34" t="s">
        <v>56</v>
      </c>
      <c r="B34" t="s">
        <v>61</v>
      </c>
      <c r="C34" t="s">
        <v>22</v>
      </c>
      <c r="D34" t="s">
        <v>65</v>
      </c>
      <c r="E34" s="3">
        <v>885.5</v>
      </c>
      <c r="F34" s="3">
        <v>22466</v>
      </c>
      <c r="G34" s="3">
        <f>+F34*E34/COP</f>
        <v>4934.771489239256</v>
      </c>
      <c r="H34" s="3"/>
      <c r="I34" s="6" t="s">
        <v>24</v>
      </c>
      <c r="J34" s="3" t="s">
        <v>26</v>
      </c>
      <c r="K34" s="3" t="s">
        <v>26</v>
      </c>
      <c r="L34" s="3" t="s">
        <v>26</v>
      </c>
      <c r="M34" t="s">
        <v>60</v>
      </c>
      <c r="N34">
        <v>12</v>
      </c>
    </row>
    <row r="35" spans="1:14" x14ac:dyDescent="0.2">
      <c r="A35" t="s">
        <v>56</v>
      </c>
      <c r="B35" t="s">
        <v>57</v>
      </c>
      <c r="C35" t="s">
        <v>22</v>
      </c>
      <c r="D35" t="s">
        <v>65</v>
      </c>
      <c r="E35" s="3">
        <v>275.5</v>
      </c>
      <c r="F35" s="3">
        <v>22466</v>
      </c>
      <c r="G35" s="3">
        <f>+F35*E35/COP</f>
        <v>1535.3241618130041</v>
      </c>
      <c r="H35" s="3"/>
      <c r="I35" s="6" t="s">
        <v>24</v>
      </c>
      <c r="J35" s="3" t="s">
        <v>26</v>
      </c>
      <c r="K35" s="3" t="s">
        <v>26</v>
      </c>
      <c r="L35" s="3" t="s">
        <v>26</v>
      </c>
      <c r="M35" t="s">
        <v>60</v>
      </c>
      <c r="N35">
        <v>12</v>
      </c>
    </row>
    <row r="36" spans="1:14" x14ac:dyDescent="0.2">
      <c r="A36" t="s">
        <v>20</v>
      </c>
      <c r="B36" t="s">
        <v>67</v>
      </c>
      <c r="C36" t="s">
        <v>22</v>
      </c>
      <c r="D36" t="s">
        <v>52</v>
      </c>
      <c r="E36" s="39">
        <v>3283.27</v>
      </c>
      <c r="G36" s="3">
        <f>+E36</f>
        <v>3283.27</v>
      </c>
      <c r="I36" s="3" t="s">
        <v>52</v>
      </c>
      <c r="J36" s="3" t="s">
        <v>52</v>
      </c>
      <c r="K36" s="3" t="s">
        <v>52</v>
      </c>
      <c r="L36" s="3" t="s">
        <v>32</v>
      </c>
    </row>
    <row r="37" spans="1:14" x14ac:dyDescent="0.2">
      <c r="A37" t="s">
        <v>20</v>
      </c>
      <c r="B37" t="s">
        <v>67</v>
      </c>
      <c r="C37" t="s">
        <v>22</v>
      </c>
      <c r="D37" t="s">
        <v>68</v>
      </c>
      <c r="E37" s="6">
        <f>200000*G37/SUM($G$37:$G$39)</f>
        <v>41000</v>
      </c>
      <c r="F37" s="8">
        <f>+SUM(G37:G39)/200000</f>
        <v>0.69</v>
      </c>
      <c r="G37" s="3">
        <v>28290</v>
      </c>
      <c r="H37" s="15">
        <v>401769</v>
      </c>
      <c r="I37" s="6" t="s">
        <v>24</v>
      </c>
      <c r="J37" t="s">
        <v>69</v>
      </c>
      <c r="K37" t="s">
        <v>69</v>
      </c>
      <c r="L37" s="3" t="s">
        <v>26</v>
      </c>
      <c r="N37" s="1">
        <v>0.11</v>
      </c>
    </row>
    <row r="38" spans="1:14" x14ac:dyDescent="0.2">
      <c r="A38" t="s">
        <v>20</v>
      </c>
      <c r="B38" t="s">
        <v>57</v>
      </c>
      <c r="C38" t="s">
        <v>22</v>
      </c>
      <c r="D38" t="s">
        <v>68</v>
      </c>
      <c r="E38" s="6">
        <f>200000*G38/SUM($G$37:$G$39)</f>
        <v>144000</v>
      </c>
      <c r="F38" s="8">
        <f>+F37</f>
        <v>0.69</v>
      </c>
      <c r="G38" s="3">
        <v>99360</v>
      </c>
      <c r="H38" s="15">
        <v>401769</v>
      </c>
      <c r="I38" s="6" t="s">
        <v>24</v>
      </c>
      <c r="J38" t="s">
        <v>69</v>
      </c>
      <c r="K38" t="s">
        <v>69</v>
      </c>
      <c r="L38" s="3" t="s">
        <v>26</v>
      </c>
      <c r="N38" s="1">
        <v>0.11</v>
      </c>
    </row>
    <row r="39" spans="1:14" x14ac:dyDescent="0.2">
      <c r="A39" t="s">
        <v>20</v>
      </c>
      <c r="B39" t="s">
        <v>21</v>
      </c>
      <c r="C39" t="s">
        <v>22</v>
      </c>
      <c r="D39" t="s">
        <v>68</v>
      </c>
      <c r="E39" s="6">
        <f>200000*G39/SUM($G$37:$G$39)</f>
        <v>15000</v>
      </c>
      <c r="F39" s="8">
        <f>+F38</f>
        <v>0.69</v>
      </c>
      <c r="G39" s="3">
        <v>10350</v>
      </c>
      <c r="H39" s="15">
        <v>401769</v>
      </c>
      <c r="I39" s="6" t="s">
        <v>24</v>
      </c>
      <c r="J39" t="s">
        <v>69</v>
      </c>
      <c r="K39" t="s">
        <v>69</v>
      </c>
      <c r="L39" s="3" t="s">
        <v>26</v>
      </c>
      <c r="N39" s="1">
        <v>0.11</v>
      </c>
    </row>
    <row r="40" spans="1:14" x14ac:dyDescent="0.2">
      <c r="A40" t="s">
        <v>20</v>
      </c>
      <c r="B40" t="s">
        <v>57</v>
      </c>
      <c r="C40" t="s">
        <v>22</v>
      </c>
      <c r="D40" t="s">
        <v>52</v>
      </c>
      <c r="E40" s="3">
        <v>1280.81</v>
      </c>
      <c r="F40" s="3"/>
      <c r="G40" s="3">
        <f>+E40</f>
        <v>1280.81</v>
      </c>
      <c r="I40" s="3" t="s">
        <v>52</v>
      </c>
      <c r="J40" s="3" t="s">
        <v>52</v>
      </c>
      <c r="K40" s="3" t="s">
        <v>52</v>
      </c>
      <c r="L40" s="3" t="s">
        <v>32</v>
      </c>
      <c r="M40" s="3" t="s">
        <v>27</v>
      </c>
    </row>
    <row r="41" spans="1:14" x14ac:dyDescent="0.2">
      <c r="A41" t="s">
        <v>20</v>
      </c>
      <c r="B41" t="s">
        <v>70</v>
      </c>
      <c r="C41" t="s">
        <v>29</v>
      </c>
      <c r="D41" s="5" t="s">
        <v>52</v>
      </c>
      <c r="F41" s="3"/>
      <c r="G41" s="3">
        <v>62107</v>
      </c>
      <c r="H41" s="3"/>
      <c r="I41" s="3" t="s">
        <v>52</v>
      </c>
      <c r="J41" s="3" t="s">
        <v>52</v>
      </c>
      <c r="K41" s="3" t="s">
        <v>52</v>
      </c>
      <c r="L41" s="3" t="s">
        <v>32</v>
      </c>
      <c r="M41" s="3" t="s">
        <v>27</v>
      </c>
      <c r="N41" s="4">
        <v>0</v>
      </c>
    </row>
    <row r="42" spans="1:14" x14ac:dyDescent="0.2">
      <c r="A42" t="s">
        <v>20</v>
      </c>
      <c r="B42" t="s">
        <v>70</v>
      </c>
      <c r="C42" t="s">
        <v>29</v>
      </c>
      <c r="D42" t="s">
        <v>71</v>
      </c>
      <c r="E42">
        <v>500000</v>
      </c>
      <c r="F42">
        <v>98.787599999999998</v>
      </c>
      <c r="G42" s="3">
        <f>+F42%*E42</f>
        <v>493938</v>
      </c>
      <c r="H42" s="40">
        <v>45281</v>
      </c>
      <c r="I42" t="s">
        <v>24</v>
      </c>
      <c r="J42" t="s">
        <v>39</v>
      </c>
      <c r="K42" s="3" t="s">
        <v>40</v>
      </c>
      <c r="L42" t="s">
        <v>32</v>
      </c>
      <c r="M42" t="s">
        <v>27</v>
      </c>
      <c r="N42" s="7">
        <v>5.2600000000000001E-2</v>
      </c>
    </row>
    <row r="43" spans="1:14" x14ac:dyDescent="0.2">
      <c r="A43" t="s">
        <v>56</v>
      </c>
      <c r="B43" t="s">
        <v>72</v>
      </c>
      <c r="C43" t="s">
        <v>22</v>
      </c>
      <c r="D43" t="s">
        <v>73</v>
      </c>
      <c r="E43">
        <v>6393</v>
      </c>
      <c r="F43">
        <v>1799</v>
      </c>
      <c r="G43" s="3">
        <f>11501007/COP</f>
        <v>2852.9134377821656</v>
      </c>
      <c r="I43" t="s">
        <v>41</v>
      </c>
      <c r="J43" s="3" t="s">
        <v>26</v>
      </c>
      <c r="K43" s="3" t="s">
        <v>26</v>
      </c>
      <c r="L43" s="3" t="s">
        <v>26</v>
      </c>
    </row>
  </sheetData>
  <autoFilter ref="A2:T43" xr:uid="{A472807D-6817-4C35-90DE-CFB15D57F4A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6E95-DB8D-794B-B626-4B424F688A5C}">
  <dimension ref="A1:T72"/>
  <sheetViews>
    <sheetView topLeftCell="A35" zoomScaleNormal="85" workbookViewId="0">
      <selection activeCell="D55" sqref="D55"/>
    </sheetView>
  </sheetViews>
  <sheetFormatPr baseColWidth="10" defaultColWidth="8.83203125" defaultRowHeight="15" x14ac:dyDescent="0.2"/>
  <cols>
    <col min="1" max="1" width="9.1640625" customWidth="1"/>
    <col min="2" max="2" width="33.5" customWidth="1"/>
    <col min="3" max="3" width="13.6640625" bestFit="1" customWidth="1"/>
    <col min="4" max="4" width="44.1640625" customWidth="1"/>
    <col min="5" max="6" width="15.33203125" bestFit="1" customWidth="1"/>
    <col min="7" max="7" width="16.6640625" bestFit="1" customWidth="1"/>
    <col min="8" max="9" width="16.6640625" customWidth="1"/>
    <col min="10" max="10" width="20.83203125" bestFit="1" customWidth="1"/>
    <col min="11" max="13" width="36.5" customWidth="1"/>
    <col min="14" max="15" width="20.83203125" customWidth="1"/>
    <col min="16" max="16" width="16.5" bestFit="1" customWidth="1"/>
    <col min="17" max="17" width="12.83203125" bestFit="1" customWidth="1"/>
    <col min="19" max="19" width="16.1640625" bestFit="1" customWidth="1"/>
  </cols>
  <sheetData>
    <row r="1" spans="1:20" ht="16" thickBot="1" x14ac:dyDescent="0.25">
      <c r="D1" t="e" vm="1">
        <v>#VALUE!</v>
      </c>
      <c r="E1" s="13" cm="1">
        <f t="array" ref="E1">+_FV(D1,"Price")</f>
        <v>4031.32</v>
      </c>
      <c r="I1" s="7">
        <v>5.0000000000000001E-3</v>
      </c>
      <c r="J1">
        <f>90/360</f>
        <v>0.25</v>
      </c>
    </row>
    <row r="2" spans="1:20" x14ac:dyDescent="0.2">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9" t="s">
        <v>16</v>
      </c>
      <c r="R2" s="9" t="s">
        <v>17</v>
      </c>
      <c r="S2" s="9" t="s">
        <v>18</v>
      </c>
      <c r="T2" s="9" t="s">
        <v>19</v>
      </c>
    </row>
    <row r="3" spans="1:20" x14ac:dyDescent="0.2">
      <c r="A3" t="s">
        <v>20</v>
      </c>
      <c r="B3" t="s">
        <v>61</v>
      </c>
      <c r="C3" t="s">
        <v>22</v>
      </c>
      <c r="D3" s="18" t="s">
        <v>74</v>
      </c>
      <c r="E3" s="3">
        <v>832</v>
      </c>
      <c r="F3" s="3">
        <v>9.1999999999999993</v>
      </c>
      <c r="G3" s="3">
        <f t="shared" ref="G3:G8" si="0">+F3*E3</f>
        <v>7654.4</v>
      </c>
      <c r="H3" s="3"/>
      <c r="I3" s="3" t="s">
        <v>41</v>
      </c>
      <c r="J3" s="3" t="s">
        <v>54</v>
      </c>
      <c r="K3" s="3" t="s">
        <v>75</v>
      </c>
      <c r="L3" s="3" t="s">
        <v>32</v>
      </c>
      <c r="M3" s="3" t="s">
        <v>60</v>
      </c>
      <c r="N3" s="3"/>
      <c r="O3" s="3"/>
      <c r="P3" s="4">
        <v>1.7000000000000001E-2</v>
      </c>
      <c r="Q3" s="4">
        <v>0.05</v>
      </c>
      <c r="R3" s="4"/>
      <c r="T3" s="8">
        <f>+P3*G3</f>
        <v>130.12479999999999</v>
      </c>
    </row>
    <row r="4" spans="1:20" x14ac:dyDescent="0.2">
      <c r="A4" t="s">
        <v>20</v>
      </c>
      <c r="B4" t="s">
        <v>61</v>
      </c>
      <c r="C4" t="s">
        <v>22</v>
      </c>
      <c r="D4" s="18" t="s">
        <v>76</v>
      </c>
      <c r="E4" s="3">
        <v>284</v>
      </c>
      <c r="F4" s="3">
        <v>32.49</v>
      </c>
      <c r="G4" s="3">
        <f t="shared" si="0"/>
        <v>9227.16</v>
      </c>
      <c r="H4" s="3"/>
      <c r="I4" s="3" t="s">
        <v>41</v>
      </c>
      <c r="J4" s="3" t="s">
        <v>54</v>
      </c>
      <c r="K4" s="3" t="s">
        <v>77</v>
      </c>
      <c r="L4" s="3" t="s">
        <v>78</v>
      </c>
      <c r="M4" s="3" t="s">
        <v>60</v>
      </c>
      <c r="N4" s="3"/>
      <c r="O4" s="3"/>
      <c r="P4" s="4">
        <v>1.7500000000000002E-2</v>
      </c>
      <c r="Q4" s="4">
        <v>0.05</v>
      </c>
      <c r="R4" s="4">
        <v>5.0000000000000001E-3</v>
      </c>
      <c r="T4" s="8">
        <f>+P4*G4</f>
        <v>161.4753</v>
      </c>
    </row>
    <row r="5" spans="1:20" x14ac:dyDescent="0.2">
      <c r="A5" t="s">
        <v>20</v>
      </c>
      <c r="B5" t="s">
        <v>61</v>
      </c>
      <c r="C5" t="s">
        <v>22</v>
      </c>
      <c r="D5" s="18" t="s">
        <v>79</v>
      </c>
      <c r="E5" s="3">
        <v>47</v>
      </c>
      <c r="F5" s="3">
        <v>216.73</v>
      </c>
      <c r="G5" s="3">
        <f t="shared" si="0"/>
        <v>10186.31</v>
      </c>
      <c r="H5" s="3"/>
      <c r="I5" s="3" t="s">
        <v>41</v>
      </c>
      <c r="J5" s="3" t="s">
        <v>80</v>
      </c>
      <c r="K5" s="3" t="s">
        <v>81</v>
      </c>
      <c r="L5" s="3" t="s">
        <v>78</v>
      </c>
      <c r="M5" s="3" t="s">
        <v>60</v>
      </c>
      <c r="N5" s="3"/>
      <c r="O5" s="3"/>
      <c r="P5" s="4">
        <v>1.4E-2</v>
      </c>
      <c r="Q5" s="4">
        <v>0.05</v>
      </c>
      <c r="R5" s="4">
        <v>0.03</v>
      </c>
      <c r="T5" s="8">
        <f>+P5*G5</f>
        <v>142.60834</v>
      </c>
    </row>
    <row r="6" spans="1:20" x14ac:dyDescent="0.2">
      <c r="A6" t="s">
        <v>20</v>
      </c>
      <c r="B6" t="s">
        <v>61</v>
      </c>
      <c r="C6" t="s">
        <v>22</v>
      </c>
      <c r="D6" s="18" t="s">
        <v>82</v>
      </c>
      <c r="E6" s="3">
        <v>1529</v>
      </c>
      <c r="F6" s="3">
        <v>13.5</v>
      </c>
      <c r="G6" s="3">
        <f t="shared" si="0"/>
        <v>20641.5</v>
      </c>
      <c r="H6" s="3"/>
      <c r="I6" s="3" t="s">
        <v>83</v>
      </c>
      <c r="J6" s="3" t="s">
        <v>84</v>
      </c>
      <c r="K6" s="3" t="s">
        <v>84</v>
      </c>
      <c r="L6" s="3" t="s">
        <v>32</v>
      </c>
      <c r="M6" s="3" t="s">
        <v>60</v>
      </c>
      <c r="N6" s="3"/>
      <c r="O6" s="3"/>
      <c r="P6" s="4"/>
      <c r="Q6" s="4"/>
      <c r="R6" s="4"/>
    </row>
    <row r="7" spans="1:20" x14ac:dyDescent="0.2">
      <c r="A7" t="s">
        <v>20</v>
      </c>
      <c r="B7" t="s">
        <v>61</v>
      </c>
      <c r="C7" t="s">
        <v>22</v>
      </c>
      <c r="D7" s="18" t="s">
        <v>85</v>
      </c>
      <c r="E7" s="3">
        <v>943</v>
      </c>
      <c r="F7" s="3">
        <v>18.37</v>
      </c>
      <c r="G7" s="3">
        <f t="shared" si="0"/>
        <v>17322.91</v>
      </c>
      <c r="H7" s="3"/>
      <c r="I7" s="3" t="s">
        <v>41</v>
      </c>
      <c r="J7" s="3" t="s">
        <v>86</v>
      </c>
      <c r="K7" s="3" t="s">
        <v>87</v>
      </c>
      <c r="L7" s="3" t="s">
        <v>88</v>
      </c>
      <c r="M7" s="3" t="s">
        <v>60</v>
      </c>
      <c r="N7" s="3"/>
      <c r="O7" s="3"/>
      <c r="P7" s="4">
        <v>1.8100000000000002E-2</v>
      </c>
      <c r="Q7" s="4">
        <v>0.05</v>
      </c>
      <c r="R7" s="4">
        <v>0</v>
      </c>
      <c r="T7" s="8">
        <f>+P7*G7</f>
        <v>313.54467100000005</v>
      </c>
    </row>
    <row r="8" spans="1:20" x14ac:dyDescent="0.2">
      <c r="A8" t="s">
        <v>20</v>
      </c>
      <c r="B8" t="s">
        <v>61</v>
      </c>
      <c r="C8" t="s">
        <v>22</v>
      </c>
      <c r="D8" s="19" t="s">
        <v>89</v>
      </c>
      <c r="E8" s="3">
        <v>320</v>
      </c>
      <c r="F8" s="3">
        <v>129.06</v>
      </c>
      <c r="G8" s="3">
        <f t="shared" si="0"/>
        <v>41299.199999999997</v>
      </c>
      <c r="H8" s="3"/>
      <c r="I8" s="3" t="s">
        <v>83</v>
      </c>
      <c r="J8" s="3" t="s">
        <v>84</v>
      </c>
      <c r="K8" s="3" t="s">
        <v>84</v>
      </c>
      <c r="L8" s="3" t="s">
        <v>32</v>
      </c>
      <c r="M8" s="3" t="s">
        <v>60</v>
      </c>
      <c r="N8" s="3"/>
      <c r="O8" s="3"/>
      <c r="P8" s="4">
        <v>1.6E-2</v>
      </c>
      <c r="Q8" s="20">
        <v>0.05</v>
      </c>
      <c r="R8" s="4">
        <v>0.03</v>
      </c>
      <c r="S8" s="1">
        <v>0.2</v>
      </c>
      <c r="T8" s="8">
        <f>+P8*G8</f>
        <v>660.78719999999998</v>
      </c>
    </row>
    <row r="9" spans="1:20" x14ac:dyDescent="0.2">
      <c r="A9" t="s">
        <v>20</v>
      </c>
      <c r="B9" t="s">
        <v>57</v>
      </c>
      <c r="C9" t="s">
        <v>22</v>
      </c>
      <c r="D9" t="s">
        <v>52</v>
      </c>
      <c r="E9" s="3"/>
      <c r="F9" s="3"/>
      <c r="G9" s="3">
        <v>9290</v>
      </c>
      <c r="H9" s="3"/>
      <c r="I9" s="3" t="s">
        <v>52</v>
      </c>
      <c r="J9" s="3" t="s">
        <v>52</v>
      </c>
      <c r="K9" s="3" t="s">
        <v>52</v>
      </c>
      <c r="L9" s="3" t="s">
        <v>32</v>
      </c>
      <c r="M9" s="3" t="s">
        <v>27</v>
      </c>
      <c r="N9" s="3"/>
      <c r="O9" s="3"/>
      <c r="P9" s="4">
        <v>1.4999999999999999E-2</v>
      </c>
      <c r="Q9" s="4">
        <v>0.05</v>
      </c>
      <c r="R9" s="4"/>
      <c r="T9" s="8"/>
    </row>
    <row r="10" spans="1:20" x14ac:dyDescent="0.2">
      <c r="A10" t="s">
        <v>20</v>
      </c>
      <c r="B10" t="s">
        <v>21</v>
      </c>
      <c r="C10" t="s">
        <v>22</v>
      </c>
      <c r="D10" s="42" t="s">
        <v>23</v>
      </c>
      <c r="E10" s="3">
        <v>148000</v>
      </c>
      <c r="F10" s="3">
        <v>139.44</v>
      </c>
      <c r="G10" s="3">
        <v>142077.04</v>
      </c>
      <c r="H10" s="14">
        <v>46154</v>
      </c>
      <c r="I10" s="6" t="s">
        <v>24</v>
      </c>
      <c r="J10" s="3" t="s">
        <v>25</v>
      </c>
      <c r="K10" s="3" t="s">
        <v>25</v>
      </c>
      <c r="L10" s="3" t="s">
        <v>26</v>
      </c>
      <c r="M10" s="3" t="s">
        <v>27</v>
      </c>
      <c r="N10" s="4">
        <v>8.8999999999999996E-2</v>
      </c>
      <c r="O10" s="3"/>
      <c r="P10" s="4"/>
      <c r="Q10" s="4"/>
      <c r="R10" s="4"/>
    </row>
    <row r="11" spans="1:20" x14ac:dyDescent="0.2">
      <c r="A11" t="s">
        <v>20</v>
      </c>
      <c r="B11" t="s">
        <v>57</v>
      </c>
      <c r="C11" t="s">
        <v>22</v>
      </c>
      <c r="D11" t="s">
        <v>52</v>
      </c>
      <c r="E11" s="3"/>
      <c r="F11" s="3"/>
      <c r="G11" s="3">
        <v>6517</v>
      </c>
      <c r="H11" s="3"/>
      <c r="I11" s="3" t="s">
        <v>52</v>
      </c>
      <c r="J11" s="3" t="s">
        <v>52</v>
      </c>
      <c r="K11" s="3" t="s">
        <v>52</v>
      </c>
      <c r="L11" s="3" t="s">
        <v>32</v>
      </c>
      <c r="M11" s="3" t="s">
        <v>27</v>
      </c>
      <c r="N11" s="3"/>
      <c r="O11" s="3"/>
      <c r="P11" s="4"/>
      <c r="Q11" s="4"/>
      <c r="R11" s="4"/>
    </row>
    <row r="12" spans="1:20" x14ac:dyDescent="0.2">
      <c r="A12" t="s">
        <v>20</v>
      </c>
      <c r="B12" t="s">
        <v>28</v>
      </c>
      <c r="C12" t="s">
        <v>29</v>
      </c>
      <c r="D12" s="21" t="e" vm="2">
        <v>#VALUE!</v>
      </c>
      <c r="E12" s="3">
        <v>3</v>
      </c>
      <c r="F12" s="3" cm="1">
        <f t="array" ref="F12">_FV(D12,"Price")</f>
        <v>34.909999999999997</v>
      </c>
      <c r="G12" s="3">
        <f t="shared" ref="G12:G22" si="1">+F12*E12</f>
        <v>104.72999999999999</v>
      </c>
      <c r="H12" s="3"/>
      <c r="I12" s="3" t="s">
        <v>24</v>
      </c>
      <c r="J12" s="3" t="s">
        <v>30</v>
      </c>
      <c r="K12" s="3" t="s">
        <v>31</v>
      </c>
      <c r="L12" s="3" t="s">
        <v>32</v>
      </c>
      <c r="M12" s="3" t="s">
        <v>27</v>
      </c>
      <c r="N12" s="4">
        <v>6.0900000000000003E-2</v>
      </c>
      <c r="O12" s="17">
        <f t="shared" ref="O12:O17" si="2">1/N12</f>
        <v>16.420361247947454</v>
      </c>
      <c r="P12" s="4" cm="1">
        <f t="array" ref="P12">_FV(D12,"Expense ratio",TRUE)</f>
        <v>1.5E-3</v>
      </c>
      <c r="Q12" s="3"/>
      <c r="T12" s="8">
        <f>+P12*G12</f>
        <v>0.15709499999999998</v>
      </c>
    </row>
    <row r="13" spans="1:20" x14ac:dyDescent="0.2">
      <c r="A13" t="s">
        <v>20</v>
      </c>
      <c r="B13" t="s">
        <v>28</v>
      </c>
      <c r="C13" t="s">
        <v>29</v>
      </c>
      <c r="D13" s="21" t="e" vm="3">
        <v>#VALUE!</v>
      </c>
      <c r="E13" s="3">
        <v>5</v>
      </c>
      <c r="F13" s="3" cm="1">
        <f t="array" ref="F13">_FV(D13,"Price")</f>
        <v>48.05</v>
      </c>
      <c r="G13" s="3">
        <f t="shared" si="1"/>
        <v>240.25</v>
      </c>
      <c r="H13" s="3"/>
      <c r="I13" s="3" t="s">
        <v>24</v>
      </c>
      <c r="J13" s="3" t="s">
        <v>33</v>
      </c>
      <c r="K13" s="3" t="s">
        <v>34</v>
      </c>
      <c r="L13" s="3" t="s">
        <v>32</v>
      </c>
      <c r="M13" s="3" t="s">
        <v>27</v>
      </c>
      <c r="N13" s="4">
        <v>2.9700000000000001E-2</v>
      </c>
      <c r="O13" s="17">
        <f t="shared" si="2"/>
        <v>33.670033670033668</v>
      </c>
      <c r="P13" s="4" cm="1">
        <f t="array" ref="P13">_FV(D13,"Expense ratio",TRUE)</f>
        <v>4.0000000000000002E-4</v>
      </c>
      <c r="Q13" s="3"/>
      <c r="T13" s="8">
        <f>+P13*G13</f>
        <v>9.6100000000000005E-2</v>
      </c>
    </row>
    <row r="14" spans="1:20" x14ac:dyDescent="0.2">
      <c r="A14" t="s">
        <v>20</v>
      </c>
      <c r="B14" t="s">
        <v>28</v>
      </c>
      <c r="C14" t="s">
        <v>29</v>
      </c>
      <c r="D14" s="21" t="e" vm="4">
        <v>#VALUE!</v>
      </c>
      <c r="E14" s="3">
        <v>4</v>
      </c>
      <c r="F14" s="3" cm="1">
        <f t="array" ref="F14">_FV(D14,"Price")</f>
        <v>103.65</v>
      </c>
      <c r="G14" s="3">
        <f t="shared" si="1"/>
        <v>414.6</v>
      </c>
      <c r="H14" s="3"/>
      <c r="I14" s="3" t="s">
        <v>24</v>
      </c>
      <c r="J14" s="3" t="s">
        <v>35</v>
      </c>
      <c r="K14" s="3" t="s">
        <v>36</v>
      </c>
      <c r="L14" s="3" t="s">
        <v>32</v>
      </c>
      <c r="M14" s="3" t="s">
        <v>27</v>
      </c>
      <c r="N14" s="4">
        <v>6.7000000000000002E-3</v>
      </c>
      <c r="O14" s="17">
        <f t="shared" si="2"/>
        <v>149.25373134328359</v>
      </c>
      <c r="P14" s="4" cm="1">
        <f t="array" ref="P14">_FV(D14,"Expense ratio",TRUE)</f>
        <v>7.000000000000001E-4</v>
      </c>
      <c r="Q14" s="3"/>
      <c r="T14" s="8">
        <f>+P14*G14</f>
        <v>0.29022000000000003</v>
      </c>
    </row>
    <row r="15" spans="1:20" x14ac:dyDescent="0.2">
      <c r="A15" t="s">
        <v>20</v>
      </c>
      <c r="B15" t="s">
        <v>28</v>
      </c>
      <c r="C15" t="s">
        <v>29</v>
      </c>
      <c r="D15" s="22" t="s">
        <v>37</v>
      </c>
      <c r="E15" s="3">
        <v>15</v>
      </c>
      <c r="F15" s="3">
        <v>102.58</v>
      </c>
      <c r="G15" s="3">
        <f t="shared" si="1"/>
        <v>1538.7</v>
      </c>
      <c r="H15" s="3"/>
      <c r="I15" s="3" t="s">
        <v>24</v>
      </c>
      <c r="J15" s="3" t="s">
        <v>35</v>
      </c>
      <c r="K15" s="3" t="s">
        <v>36</v>
      </c>
      <c r="L15" s="3" t="s">
        <v>32</v>
      </c>
      <c r="M15" s="3" t="s">
        <v>27</v>
      </c>
      <c r="N15" s="4">
        <v>2.0199999999999999E-2</v>
      </c>
      <c r="O15" s="17">
        <f t="shared" si="2"/>
        <v>49.504950495049506</v>
      </c>
    </row>
    <row r="16" spans="1:20" x14ac:dyDescent="0.2">
      <c r="A16" t="s">
        <v>20</v>
      </c>
      <c r="B16" t="s">
        <v>28</v>
      </c>
      <c r="C16" t="s">
        <v>29</v>
      </c>
      <c r="D16" s="21" t="e" vm="5">
        <v>#VALUE!</v>
      </c>
      <c r="E16" s="3">
        <v>7</v>
      </c>
      <c r="F16" s="3">
        <v>49.93</v>
      </c>
      <c r="G16" s="3">
        <f t="shared" si="1"/>
        <v>349.51</v>
      </c>
      <c r="H16" s="3"/>
      <c r="I16" s="3" t="s">
        <v>24</v>
      </c>
      <c r="J16" s="3" t="s">
        <v>35</v>
      </c>
      <c r="K16" s="3" t="s">
        <v>38</v>
      </c>
      <c r="L16" s="3" t="s">
        <v>32</v>
      </c>
      <c r="M16" s="3" t="s">
        <v>27</v>
      </c>
      <c r="N16" s="4">
        <v>4.0899999999999999E-2</v>
      </c>
      <c r="O16" s="17">
        <f t="shared" si="2"/>
        <v>24.449877750611247</v>
      </c>
    </row>
    <row r="17" spans="1:20" x14ac:dyDescent="0.2">
      <c r="A17" t="s">
        <v>20</v>
      </c>
      <c r="B17" t="s">
        <v>28</v>
      </c>
      <c r="C17" t="s">
        <v>29</v>
      </c>
      <c r="D17" s="21" t="e" vm="6">
        <v>#VALUE!</v>
      </c>
      <c r="E17" s="3">
        <v>11</v>
      </c>
      <c r="F17" s="3" cm="1">
        <f t="array" ref="F17">_FV(D17,"Price")</f>
        <v>22.08</v>
      </c>
      <c r="G17" s="3">
        <f t="shared" si="1"/>
        <v>242.88</v>
      </c>
      <c r="H17" s="3"/>
      <c r="I17" s="3" t="s">
        <v>24</v>
      </c>
      <c r="J17" s="3" t="s">
        <v>39</v>
      </c>
      <c r="K17" s="3" t="s">
        <v>40</v>
      </c>
      <c r="L17" s="3" t="s">
        <v>32</v>
      </c>
      <c r="M17" s="3" t="s">
        <v>27</v>
      </c>
      <c r="N17" s="4">
        <v>1.3899999999999999E-2</v>
      </c>
      <c r="O17" s="17">
        <f t="shared" si="2"/>
        <v>71.942446043165475</v>
      </c>
      <c r="P17" s="4" cm="1">
        <f t="array" ref="P17">_FV(D17,"Expense ratio",TRUE)</f>
        <v>5.0000000000000001E-4</v>
      </c>
      <c r="T17" s="8">
        <f>+P17*G17</f>
        <v>0.12144000000000001</v>
      </c>
    </row>
    <row r="18" spans="1:20" x14ac:dyDescent="0.2">
      <c r="A18" t="s">
        <v>20</v>
      </c>
      <c r="B18" t="s">
        <v>28</v>
      </c>
      <c r="C18" t="s">
        <v>29</v>
      </c>
      <c r="D18" s="21" t="e" vm="7">
        <v>#VALUE!</v>
      </c>
      <c r="E18" s="3">
        <v>31</v>
      </c>
      <c r="F18" s="3" cm="1">
        <f t="array" ref="F18">_FV(D18,"Price")</f>
        <v>96.72</v>
      </c>
      <c r="G18" s="3">
        <f t="shared" si="1"/>
        <v>2998.32</v>
      </c>
      <c r="H18" s="3"/>
      <c r="I18" s="3" t="s">
        <v>41</v>
      </c>
      <c r="J18" s="3" t="s">
        <v>42</v>
      </c>
      <c r="K18" s="3" t="s">
        <v>43</v>
      </c>
      <c r="L18" s="3" t="s">
        <v>32</v>
      </c>
      <c r="M18" s="3" t="s">
        <v>27</v>
      </c>
      <c r="N18" s="4">
        <v>0.01</v>
      </c>
      <c r="O18">
        <v>20.350000000000001</v>
      </c>
      <c r="P18" s="4" cm="1">
        <f t="array" ref="P18">_FV(D18,"Expense ratio",TRUE)</f>
        <v>4.0000000000000002E-4</v>
      </c>
    </row>
    <row r="19" spans="1:20" x14ac:dyDescent="0.2">
      <c r="A19" t="s">
        <v>20</v>
      </c>
      <c r="B19" t="s">
        <v>28</v>
      </c>
      <c r="C19" t="s">
        <v>29</v>
      </c>
      <c r="D19" s="21" t="e" vm="8">
        <v>#VALUE!</v>
      </c>
      <c r="E19" s="3">
        <v>49</v>
      </c>
      <c r="F19" s="3" cm="1">
        <f t="array" ref="F19">_FV(D19,"Price")</f>
        <v>76.03</v>
      </c>
      <c r="G19" s="3">
        <f t="shared" si="1"/>
        <v>3725.4700000000003</v>
      </c>
      <c r="H19" s="3"/>
      <c r="I19" s="3" t="s">
        <v>41</v>
      </c>
      <c r="J19" s="3" t="s">
        <v>42</v>
      </c>
      <c r="K19" s="3" t="s">
        <v>44</v>
      </c>
      <c r="L19" s="3" t="s">
        <v>32</v>
      </c>
      <c r="M19" s="3" t="s">
        <v>27</v>
      </c>
      <c r="N19" s="4">
        <v>2.4299999999999999E-2</v>
      </c>
      <c r="O19">
        <v>15.38</v>
      </c>
      <c r="P19" s="4" cm="1">
        <f t="array" ref="P19">_FV(D19,"Expense ratio",TRUE)</f>
        <v>4.0000000000000002E-4</v>
      </c>
      <c r="T19" s="8">
        <f>+P19*G19</f>
        <v>1.4901880000000001</v>
      </c>
    </row>
    <row r="20" spans="1:20" x14ac:dyDescent="0.2">
      <c r="A20" t="s">
        <v>20</v>
      </c>
      <c r="B20" t="s">
        <v>28</v>
      </c>
      <c r="C20" t="s">
        <v>29</v>
      </c>
      <c r="D20" s="21" t="e" vm="9">
        <v>#VALUE!</v>
      </c>
      <c r="E20" s="3">
        <v>19</v>
      </c>
      <c r="F20" s="3" cm="1">
        <f t="array" ref="F20">_FV(D20,"Price")</f>
        <v>39.64</v>
      </c>
      <c r="G20" s="3">
        <f t="shared" si="1"/>
        <v>753.16</v>
      </c>
      <c r="H20" s="3"/>
      <c r="I20" s="3" t="s">
        <v>41</v>
      </c>
      <c r="J20" s="3" t="s">
        <v>45</v>
      </c>
      <c r="K20" s="3" t="s">
        <v>46</v>
      </c>
      <c r="L20" s="3" t="s">
        <v>47</v>
      </c>
      <c r="M20" s="3" t="s">
        <v>27</v>
      </c>
      <c r="N20" s="4">
        <v>3.95E-2</v>
      </c>
      <c r="O20">
        <v>11.15</v>
      </c>
      <c r="P20" s="4" cm="1">
        <f t="array" ref="P20">_FV(D20,"Expense ratio",TRUE)</f>
        <v>8.0000000000000004E-4</v>
      </c>
      <c r="T20" s="8">
        <f>+P20*G20</f>
        <v>0.60252799999999995</v>
      </c>
    </row>
    <row r="21" spans="1:20" x14ac:dyDescent="0.2">
      <c r="A21" t="s">
        <v>20</v>
      </c>
      <c r="B21" t="s">
        <v>28</v>
      </c>
      <c r="C21" t="s">
        <v>29</v>
      </c>
      <c r="D21" s="21" t="e" vm="10">
        <v>#VALUE!</v>
      </c>
      <c r="E21" s="3">
        <v>47</v>
      </c>
      <c r="F21" s="3" cm="1">
        <f t="array" ref="F21">_FV(D21,"Price")</f>
        <v>43.72</v>
      </c>
      <c r="G21" s="3">
        <f t="shared" si="1"/>
        <v>2054.84</v>
      </c>
      <c r="H21" s="3"/>
      <c r="I21" s="3" t="s">
        <v>41</v>
      </c>
      <c r="J21" s="3" t="s">
        <v>48</v>
      </c>
      <c r="K21" s="3" t="s">
        <v>49</v>
      </c>
      <c r="L21" s="3" t="s">
        <v>50</v>
      </c>
      <c r="M21" s="3" t="s">
        <v>27</v>
      </c>
      <c r="N21" s="4">
        <v>4.1300000000000003E-2</v>
      </c>
      <c r="O21">
        <v>11.82</v>
      </c>
      <c r="P21" s="4" cm="1">
        <f t="array" ref="P21">_FV(D21,"Expense ratio",TRUE)</f>
        <v>5.0000000000000001E-4</v>
      </c>
      <c r="T21" s="8">
        <f>+P21*G21</f>
        <v>1.02742</v>
      </c>
    </row>
    <row r="22" spans="1:20" x14ac:dyDescent="0.2">
      <c r="A22" t="s">
        <v>20</v>
      </c>
      <c r="B22" t="s">
        <v>28</v>
      </c>
      <c r="C22" t="s">
        <v>29</v>
      </c>
      <c r="D22" s="21" t="e" vm="11">
        <v>#VALUE!</v>
      </c>
      <c r="E22" s="3">
        <v>8</v>
      </c>
      <c r="F22" s="3" cm="1">
        <f t="array" ref="F22">_FV(D22,"Price")</f>
        <v>69.510000000000005</v>
      </c>
      <c r="G22" s="3">
        <f t="shared" si="1"/>
        <v>556.08000000000004</v>
      </c>
      <c r="H22" s="3"/>
      <c r="I22" s="3" t="s">
        <v>41</v>
      </c>
      <c r="J22" s="3" t="s">
        <v>48</v>
      </c>
      <c r="K22" s="3" t="s">
        <v>49</v>
      </c>
      <c r="L22" s="3" t="s">
        <v>50</v>
      </c>
      <c r="M22" s="3" t="s">
        <v>27</v>
      </c>
      <c r="N22" s="4">
        <v>1.6500000000000001E-2</v>
      </c>
      <c r="O22">
        <v>11.79</v>
      </c>
      <c r="P22" s="4" cm="1">
        <f t="array" ref="P22">_FV(D22,"Expense ratio",TRUE)</f>
        <v>1E-3</v>
      </c>
      <c r="T22" s="8">
        <f>+P22*G22</f>
        <v>0.55608000000000002</v>
      </c>
    </row>
    <row r="23" spans="1:20" x14ac:dyDescent="0.2">
      <c r="A23" t="s">
        <v>20</v>
      </c>
      <c r="B23" t="s">
        <v>28</v>
      </c>
      <c r="C23" t="s">
        <v>29</v>
      </c>
      <c r="D23" s="5" t="s">
        <v>52</v>
      </c>
      <c r="F23" s="3"/>
      <c r="G23" s="3">
        <f>546+31</f>
        <v>577</v>
      </c>
      <c r="H23" s="3"/>
      <c r="I23" s="3" t="s">
        <v>52</v>
      </c>
      <c r="J23" s="3" t="s">
        <v>52</v>
      </c>
      <c r="K23" s="3" t="s">
        <v>52</v>
      </c>
      <c r="L23" s="3" t="s">
        <v>32</v>
      </c>
      <c r="M23" s="3" t="s">
        <v>27</v>
      </c>
      <c r="N23" s="4">
        <v>0</v>
      </c>
    </row>
    <row r="24" spans="1:20" x14ac:dyDescent="0.2">
      <c r="A24" t="s">
        <v>20</v>
      </c>
      <c r="B24" t="s">
        <v>70</v>
      </c>
      <c r="C24" t="s">
        <v>90</v>
      </c>
      <c r="D24" s="5" t="s">
        <v>52</v>
      </c>
      <c r="F24" s="3"/>
      <c r="G24" s="3">
        <v>500000</v>
      </c>
      <c r="H24" s="3"/>
      <c r="I24" s="3" t="s">
        <v>52</v>
      </c>
      <c r="J24" s="3" t="s">
        <v>52</v>
      </c>
      <c r="K24" s="3" t="s">
        <v>52</v>
      </c>
      <c r="L24" s="3" t="s">
        <v>32</v>
      </c>
      <c r="M24" s="3" t="s">
        <v>27</v>
      </c>
      <c r="N24" s="4">
        <v>0</v>
      </c>
    </row>
    <row r="25" spans="1:20" x14ac:dyDescent="0.2">
      <c r="A25" t="s">
        <v>20</v>
      </c>
      <c r="B25" t="s">
        <v>28</v>
      </c>
      <c r="C25" t="s">
        <v>91</v>
      </c>
      <c r="D25" s="5"/>
      <c r="F25" s="3"/>
      <c r="G25" s="3">
        <v>125000</v>
      </c>
      <c r="H25" s="3"/>
      <c r="I25" s="3" t="s">
        <v>24</v>
      </c>
      <c r="J25" s="3" t="s">
        <v>92</v>
      </c>
      <c r="K25" s="3" t="s">
        <v>31</v>
      </c>
      <c r="L25" s="3" t="s">
        <v>32</v>
      </c>
      <c r="M25" s="3" t="s">
        <v>27</v>
      </c>
      <c r="N25" s="4">
        <v>0.08</v>
      </c>
    </row>
    <row r="26" spans="1:20" x14ac:dyDescent="0.2">
      <c r="A26" t="s">
        <v>20</v>
      </c>
      <c r="B26" t="s">
        <v>28</v>
      </c>
      <c r="C26" t="s">
        <v>29</v>
      </c>
      <c r="D26" s="5" t="s">
        <v>53</v>
      </c>
      <c r="F26" s="3"/>
      <c r="G26" s="3">
        <v>546</v>
      </c>
      <c r="H26" s="3"/>
      <c r="I26" s="3" t="s">
        <v>52</v>
      </c>
      <c r="J26" s="3" t="s">
        <v>52</v>
      </c>
      <c r="K26" s="3" t="s">
        <v>52</v>
      </c>
      <c r="L26" s="3" t="s">
        <v>32</v>
      </c>
      <c r="M26" s="3" t="s">
        <v>27</v>
      </c>
      <c r="N26" s="4"/>
    </row>
    <row r="27" spans="1:20" x14ac:dyDescent="0.2">
      <c r="A27" t="s">
        <v>20</v>
      </c>
      <c r="B27" t="s">
        <v>28</v>
      </c>
      <c r="C27" t="s">
        <v>51</v>
      </c>
      <c r="D27" s="21" t="e" vm="12">
        <v>#VALUE!</v>
      </c>
      <c r="E27" s="3">
        <v>150000</v>
      </c>
      <c r="F27" s="2" cm="1">
        <f t="array" ref="F27">_FV(D27,"Price")</f>
        <v>4.4999999999999997E-3</v>
      </c>
      <c r="G27" s="3">
        <f t="shared" ref="G27:G37" si="3">+F27*E27</f>
        <v>675</v>
      </c>
      <c r="H27" s="3"/>
      <c r="I27" s="3" t="s">
        <v>41</v>
      </c>
      <c r="J27" s="3" t="s">
        <v>54</v>
      </c>
      <c r="K27" t="e" vm="12">
        <f>+D27</f>
        <v>#VALUE!</v>
      </c>
      <c r="L27" s="3" t="s">
        <v>32</v>
      </c>
      <c r="M27" s="3" t="s">
        <v>27</v>
      </c>
      <c r="N27" s="1">
        <v>0</v>
      </c>
      <c r="O27" s="4">
        <v>0</v>
      </c>
    </row>
    <row r="28" spans="1:20" x14ac:dyDescent="0.2">
      <c r="A28" t="s">
        <v>20</v>
      </c>
      <c r="B28" t="s">
        <v>28</v>
      </c>
      <c r="C28" t="s">
        <v>51</v>
      </c>
      <c r="D28" s="21" t="e" vm="13">
        <v>#VALUE!</v>
      </c>
      <c r="E28" s="3">
        <v>100</v>
      </c>
      <c r="F28" s="2" cm="1">
        <f t="array" ref="F28">_FV(D28,"Price")</f>
        <v>142.71</v>
      </c>
      <c r="G28" s="3">
        <f t="shared" si="3"/>
        <v>14271</v>
      </c>
      <c r="H28" s="3"/>
      <c r="I28" s="3" t="s">
        <v>41</v>
      </c>
      <c r="J28" s="3" t="s">
        <v>54</v>
      </c>
      <c r="K28" t="e" vm="13">
        <f t="shared" ref="K28:K37" si="4">+D28</f>
        <v>#VALUE!</v>
      </c>
      <c r="L28" s="3" t="s">
        <v>32</v>
      </c>
      <c r="M28" s="3" t="s">
        <v>27</v>
      </c>
      <c r="N28" s="4">
        <v>0</v>
      </c>
      <c r="O28" s="2" cm="1">
        <f t="array" ref="O28">_FV(D28,"P/E",TRUE)</f>
        <v>74.505099999999999</v>
      </c>
    </row>
    <row r="29" spans="1:20" x14ac:dyDescent="0.2">
      <c r="A29" t="s">
        <v>20</v>
      </c>
      <c r="B29" t="s">
        <v>28</v>
      </c>
      <c r="C29" t="s">
        <v>51</v>
      </c>
      <c r="D29" s="21" t="e" vm="14">
        <v>#VALUE!</v>
      </c>
      <c r="E29" s="3">
        <v>7</v>
      </c>
      <c r="F29" s="2" cm="1">
        <f t="array" ref="F29">_FV(D29,"Price")</f>
        <v>191.41</v>
      </c>
      <c r="G29" s="3">
        <f t="shared" si="3"/>
        <v>1339.87</v>
      </c>
      <c r="H29" s="3"/>
      <c r="I29" s="3" t="s">
        <v>41</v>
      </c>
      <c r="J29" s="3" t="s">
        <v>55</v>
      </c>
      <c r="K29" t="e" vm="14">
        <f t="shared" si="4"/>
        <v>#VALUE!</v>
      </c>
      <c r="L29" s="3" t="s">
        <v>32</v>
      </c>
      <c r="M29" s="3" t="s">
        <v>27</v>
      </c>
      <c r="N29" s="4">
        <v>0</v>
      </c>
      <c r="O29" s="2" t="e" cm="1" vm="15">
        <f t="array" ref="O29">_FV(D29,"P/E",TRUE)</f>
        <v>#VALUE!</v>
      </c>
    </row>
    <row r="30" spans="1:20" x14ac:dyDescent="0.2">
      <c r="A30" t="s">
        <v>20</v>
      </c>
      <c r="B30" t="s">
        <v>28</v>
      </c>
      <c r="C30" t="s">
        <v>51</v>
      </c>
      <c r="D30" s="21" t="e" vm="16">
        <v>#VALUE!</v>
      </c>
      <c r="E30" s="3">
        <v>10</v>
      </c>
      <c r="F30" s="2" cm="1">
        <f t="array" ref="F30">_FV(D30,"Price")</f>
        <v>41.08</v>
      </c>
      <c r="G30" s="3">
        <f t="shared" si="3"/>
        <v>410.79999999999995</v>
      </c>
      <c r="H30" s="3"/>
      <c r="I30" s="3" t="s">
        <v>41</v>
      </c>
      <c r="J30" s="3" t="s">
        <v>54</v>
      </c>
      <c r="K30" t="e" vm="16">
        <f t="shared" si="4"/>
        <v>#VALUE!</v>
      </c>
      <c r="L30" s="3" t="s">
        <v>32</v>
      </c>
      <c r="M30" s="3" t="s">
        <v>27</v>
      </c>
      <c r="N30" s="4">
        <v>0</v>
      </c>
      <c r="O30" s="2">
        <v>0</v>
      </c>
    </row>
    <row r="31" spans="1:20" x14ac:dyDescent="0.2">
      <c r="A31" t="s">
        <v>20</v>
      </c>
      <c r="B31" t="s">
        <v>28</v>
      </c>
      <c r="C31" t="s">
        <v>51</v>
      </c>
      <c r="D31" s="21" t="e" vm="17">
        <v>#VALUE!</v>
      </c>
      <c r="E31" s="3">
        <v>120</v>
      </c>
      <c r="F31" s="2" cm="1">
        <f t="array" ref="F31">_FV(D31,"Price")</f>
        <v>28.1</v>
      </c>
      <c r="G31" s="3">
        <f t="shared" si="3"/>
        <v>3372</v>
      </c>
      <c r="H31" s="3"/>
      <c r="I31" s="3" t="s">
        <v>41</v>
      </c>
      <c r="J31" s="3" t="s">
        <v>54</v>
      </c>
      <c r="K31" t="e" vm="17">
        <f t="shared" si="4"/>
        <v>#VALUE!</v>
      </c>
      <c r="L31" s="3" t="s">
        <v>32</v>
      </c>
      <c r="M31" s="3" t="s">
        <v>27</v>
      </c>
      <c r="N31" s="4">
        <v>0</v>
      </c>
      <c r="O31" s="2" cm="1">
        <f t="array" ref="O31">_FV(D31,"P/E",TRUE)</f>
        <v>4.3662000000000001</v>
      </c>
    </row>
    <row r="32" spans="1:20" x14ac:dyDescent="0.2">
      <c r="A32" t="s">
        <v>20</v>
      </c>
      <c r="B32" t="s">
        <v>28</v>
      </c>
      <c r="C32" t="s">
        <v>51</v>
      </c>
      <c r="D32" s="21" t="e" vm="18">
        <v>#VALUE!</v>
      </c>
      <c r="E32" s="3">
        <v>15</v>
      </c>
      <c r="F32" s="2" cm="1">
        <f t="array" ref="F32">_FV(D32,"Price")</f>
        <v>360.53</v>
      </c>
      <c r="G32" s="3">
        <f t="shared" si="3"/>
        <v>5407.95</v>
      </c>
      <c r="H32" s="3"/>
      <c r="I32" s="3" t="s">
        <v>41</v>
      </c>
      <c r="J32" s="3" t="s">
        <v>54</v>
      </c>
      <c r="K32" t="e" vm="18">
        <f t="shared" si="4"/>
        <v>#VALUE!</v>
      </c>
      <c r="L32" s="3" t="s">
        <v>32</v>
      </c>
      <c r="M32" s="3" t="s">
        <v>27</v>
      </c>
      <c r="N32" s="7">
        <v>2.7199999999999998E-2</v>
      </c>
      <c r="O32" s="2" cm="1">
        <f t="array" ref="O32">_FV(D32,"P/E",TRUE)</f>
        <v>34.913200000000003</v>
      </c>
    </row>
    <row r="33" spans="1:15" x14ac:dyDescent="0.2">
      <c r="A33" t="s">
        <v>20</v>
      </c>
      <c r="B33" t="s">
        <v>28</v>
      </c>
      <c r="C33" t="s">
        <v>51</v>
      </c>
      <c r="D33" s="21" t="e" vm="19">
        <v>#VALUE!</v>
      </c>
      <c r="E33" s="3">
        <v>10</v>
      </c>
      <c r="F33" s="2" cm="1">
        <f t="array" ref="F33">_FV(D33,"Price")</f>
        <v>434.61</v>
      </c>
      <c r="G33" s="3">
        <f t="shared" si="3"/>
        <v>4346.1000000000004</v>
      </c>
      <c r="H33" s="3"/>
      <c r="I33" s="3" t="s">
        <v>41</v>
      </c>
      <c r="J33" s="3" t="s">
        <v>54</v>
      </c>
      <c r="K33" t="e" vm="19">
        <f t="shared" si="4"/>
        <v>#VALUE!</v>
      </c>
      <c r="L33" s="3" t="s">
        <v>32</v>
      </c>
      <c r="M33" s="3" t="s">
        <v>27</v>
      </c>
      <c r="N33" s="7">
        <v>0</v>
      </c>
      <c r="O33" s="2" cm="1">
        <f t="array" ref="O33">_FV(D33,"P/E",TRUE)</f>
        <v>47.1785</v>
      </c>
    </row>
    <row r="34" spans="1:15" x14ac:dyDescent="0.2">
      <c r="A34" t="s">
        <v>20</v>
      </c>
      <c r="B34" t="s">
        <v>28</v>
      </c>
      <c r="C34" t="s">
        <v>51</v>
      </c>
      <c r="D34" s="21" t="e" vm="20">
        <v>#VALUE!</v>
      </c>
      <c r="E34" s="3">
        <v>50</v>
      </c>
      <c r="F34" s="2" cm="1">
        <f t="array" ref="F34">_FV(D34,"Price")</f>
        <v>1.03</v>
      </c>
      <c r="G34" s="3">
        <f t="shared" si="3"/>
        <v>51.5</v>
      </c>
      <c r="H34" s="3"/>
      <c r="I34" s="3" t="s">
        <v>41</v>
      </c>
      <c r="J34" s="3" t="s">
        <v>54</v>
      </c>
      <c r="K34" t="e" vm="20">
        <f t="shared" si="4"/>
        <v>#VALUE!</v>
      </c>
      <c r="L34" s="3" t="s">
        <v>32</v>
      </c>
      <c r="M34" s="3" t="s">
        <v>27</v>
      </c>
      <c r="N34" s="7">
        <v>0</v>
      </c>
      <c r="O34" s="2">
        <v>0</v>
      </c>
    </row>
    <row r="35" spans="1:15" x14ac:dyDescent="0.2">
      <c r="A35" t="s">
        <v>20</v>
      </c>
      <c r="B35" t="s">
        <v>28</v>
      </c>
      <c r="C35" t="s">
        <v>51</v>
      </c>
      <c r="D35" s="21" t="e" vm="21">
        <v>#VALUE!</v>
      </c>
      <c r="E35" s="3">
        <v>45</v>
      </c>
      <c r="F35" s="2" cm="1">
        <f t="array" ref="F35">_FV(D35,"Price")</f>
        <v>222.18</v>
      </c>
      <c r="G35" s="3">
        <f t="shared" si="3"/>
        <v>9998.1</v>
      </c>
      <c r="H35" s="3"/>
      <c r="I35" s="3" t="s">
        <v>41</v>
      </c>
      <c r="J35" s="3" t="s">
        <v>54</v>
      </c>
      <c r="K35" t="e" vm="21">
        <f t="shared" si="4"/>
        <v>#VALUE!</v>
      </c>
      <c r="L35" s="3" t="s">
        <v>32</v>
      </c>
      <c r="M35" s="3" t="s">
        <v>27</v>
      </c>
      <c r="N35" s="7">
        <v>0</v>
      </c>
      <c r="O35" s="2" cm="1">
        <f t="array" ref="O35">_FV(D35,"P/E",TRUE)</f>
        <v>71.594300000000004</v>
      </c>
    </row>
    <row r="36" spans="1:15" x14ac:dyDescent="0.2">
      <c r="A36" t="s">
        <v>20</v>
      </c>
      <c r="B36" t="s">
        <v>28</v>
      </c>
      <c r="C36" t="s">
        <v>51</v>
      </c>
      <c r="D36" s="21" t="e" vm="22">
        <v>#VALUE!</v>
      </c>
      <c r="E36" s="3">
        <v>10</v>
      </c>
      <c r="F36" s="2" cm="1">
        <f t="array" ref="F36">_FV(D36,"Price")</f>
        <v>55.41</v>
      </c>
      <c r="G36" s="3">
        <f t="shared" si="3"/>
        <v>554.09999999999991</v>
      </c>
      <c r="H36" s="3"/>
      <c r="I36" s="3" t="s">
        <v>41</v>
      </c>
      <c r="J36" s="3" t="s">
        <v>54</v>
      </c>
      <c r="K36" t="e" vm="22">
        <f t="shared" si="4"/>
        <v>#VALUE!</v>
      </c>
      <c r="L36" s="3" t="s">
        <v>32</v>
      </c>
      <c r="M36" s="3" t="s">
        <v>27</v>
      </c>
      <c r="N36" s="7">
        <v>0</v>
      </c>
      <c r="O36" s="2" t="e" cm="1" vm="15">
        <f t="array" ref="O36">_FV(D36,"P/E",TRUE)</f>
        <v>#VALUE!</v>
      </c>
    </row>
    <row r="37" spans="1:15" x14ac:dyDescent="0.2">
      <c r="A37" t="s">
        <v>20</v>
      </c>
      <c r="B37" t="s">
        <v>28</v>
      </c>
      <c r="C37" t="s">
        <v>51</v>
      </c>
      <c r="D37" s="21" t="e" vm="23">
        <v>#VALUE!</v>
      </c>
      <c r="E37" s="3">
        <v>75000</v>
      </c>
      <c r="F37" s="2" cm="1">
        <f t="array" ref="F37">_FV(D37,"Price")</f>
        <v>9.9999999999999995E-7</v>
      </c>
      <c r="G37" s="3">
        <f t="shared" si="3"/>
        <v>7.4999999999999997E-2</v>
      </c>
      <c r="H37" s="3"/>
      <c r="I37" s="3" t="s">
        <v>41</v>
      </c>
      <c r="J37" s="3" t="s">
        <v>54</v>
      </c>
      <c r="K37" t="e" vm="23">
        <f t="shared" si="4"/>
        <v>#VALUE!</v>
      </c>
      <c r="L37" s="3" t="s">
        <v>32</v>
      </c>
      <c r="M37" s="3" t="s">
        <v>27</v>
      </c>
      <c r="N37" s="7">
        <v>0</v>
      </c>
      <c r="O37" s="2">
        <v>0</v>
      </c>
    </row>
    <row r="38" spans="1:15" x14ac:dyDescent="0.2">
      <c r="A38" t="s">
        <v>20</v>
      </c>
      <c r="B38" t="s">
        <v>28</v>
      </c>
      <c r="C38" t="s">
        <v>93</v>
      </c>
      <c r="D38" t="s">
        <v>94</v>
      </c>
      <c r="E38" s="3">
        <v>170758</v>
      </c>
      <c r="F38" s="2"/>
      <c r="G38" s="3">
        <f>-E38</f>
        <v>-170758</v>
      </c>
      <c r="H38" s="3"/>
      <c r="I38" s="3" t="s">
        <v>95</v>
      </c>
      <c r="J38" s="3" t="s">
        <v>80</v>
      </c>
      <c r="L38" s="3" t="s">
        <v>32</v>
      </c>
      <c r="M38" s="3" t="s">
        <v>27</v>
      </c>
      <c r="N38" s="7"/>
      <c r="O38" s="2"/>
    </row>
    <row r="39" spans="1:15" x14ac:dyDescent="0.2">
      <c r="A39" t="s">
        <v>56</v>
      </c>
      <c r="B39" t="s">
        <v>96</v>
      </c>
      <c r="C39" t="s">
        <v>22</v>
      </c>
      <c r="D39" t="e" vm="24">
        <v>#VALUE!</v>
      </c>
      <c r="E39" s="3">
        <v>16885511.890000001</v>
      </c>
      <c r="F39" s="2"/>
      <c r="G39" s="3"/>
      <c r="H39" s="3"/>
      <c r="I39" s="3" t="s">
        <v>52</v>
      </c>
      <c r="J39" s="3" t="s">
        <v>52</v>
      </c>
      <c r="K39" t="s">
        <v>52</v>
      </c>
      <c r="L39" s="3" t="s">
        <v>26</v>
      </c>
      <c r="M39" s="3" t="s">
        <v>27</v>
      </c>
      <c r="N39" s="7">
        <v>0</v>
      </c>
      <c r="O39" s="2"/>
    </row>
    <row r="40" spans="1:15" x14ac:dyDescent="0.2">
      <c r="A40" t="s">
        <v>56</v>
      </c>
      <c r="B40" t="s">
        <v>61</v>
      </c>
      <c r="C40" t="s">
        <v>22</v>
      </c>
      <c r="D40" t="s">
        <v>97</v>
      </c>
      <c r="E40" s="3">
        <v>205000000</v>
      </c>
      <c r="G40" s="6">
        <f t="shared" ref="G40:G46" si="5">+E40/COP</f>
        <v>50851.830169770692</v>
      </c>
      <c r="H40" s="14">
        <v>45465</v>
      </c>
      <c r="I40" s="6" t="s">
        <v>24</v>
      </c>
      <c r="J40" s="6" t="s">
        <v>98</v>
      </c>
      <c r="K40" s="6" t="s">
        <v>98</v>
      </c>
      <c r="L40" s="3" t="s">
        <v>26</v>
      </c>
      <c r="M40" s="3" t="s">
        <v>27</v>
      </c>
      <c r="N40" s="1">
        <v>0.16</v>
      </c>
      <c r="O40" s="17">
        <f t="shared" ref="O40:O46" si="6">1/N40</f>
        <v>6.25</v>
      </c>
    </row>
    <row r="41" spans="1:15" x14ac:dyDescent="0.2">
      <c r="A41" t="s">
        <v>56</v>
      </c>
      <c r="B41" t="s">
        <v>61</v>
      </c>
      <c r="C41" t="s">
        <v>22</v>
      </c>
      <c r="D41" t="s">
        <v>97</v>
      </c>
      <c r="E41" s="3">
        <v>160000000</v>
      </c>
      <c r="G41" s="6">
        <f t="shared" si="5"/>
        <v>39689.233303235662</v>
      </c>
      <c r="H41" s="15">
        <v>45472</v>
      </c>
      <c r="I41" s="6" t="s">
        <v>24</v>
      </c>
      <c r="J41" s="6" t="s">
        <v>98</v>
      </c>
      <c r="K41" s="6" t="s">
        <v>98</v>
      </c>
      <c r="L41" s="3" t="s">
        <v>26</v>
      </c>
      <c r="M41" s="3" t="s">
        <v>27</v>
      </c>
      <c r="N41" s="1">
        <v>0.16</v>
      </c>
      <c r="O41" s="17">
        <f t="shared" si="6"/>
        <v>6.25</v>
      </c>
    </row>
    <row r="42" spans="1:15" x14ac:dyDescent="0.2">
      <c r="A42" t="s">
        <v>56</v>
      </c>
      <c r="B42" t="s">
        <v>57</v>
      </c>
      <c r="C42" t="s">
        <v>22</v>
      </c>
      <c r="D42" t="s">
        <v>99</v>
      </c>
      <c r="E42" s="3">
        <v>140000000</v>
      </c>
      <c r="G42" s="6">
        <f t="shared" si="5"/>
        <v>34728.079140331203</v>
      </c>
      <c r="H42" s="15">
        <v>45472</v>
      </c>
      <c r="I42" s="6" t="s">
        <v>24</v>
      </c>
      <c r="J42" s="6" t="s">
        <v>100</v>
      </c>
      <c r="K42" s="6" t="s">
        <v>100</v>
      </c>
      <c r="L42" s="3" t="s">
        <v>26</v>
      </c>
      <c r="M42" s="3" t="s">
        <v>27</v>
      </c>
      <c r="N42" s="1">
        <v>0.16</v>
      </c>
      <c r="O42" s="17">
        <f t="shared" si="6"/>
        <v>6.25</v>
      </c>
    </row>
    <row r="43" spans="1:15" x14ac:dyDescent="0.2">
      <c r="A43" t="s">
        <v>56</v>
      </c>
      <c r="B43" t="s">
        <v>57</v>
      </c>
      <c r="C43" t="s">
        <v>22</v>
      </c>
      <c r="D43" t="s">
        <v>97</v>
      </c>
      <c r="E43" s="3">
        <v>67000000</v>
      </c>
      <c r="G43" s="6">
        <f t="shared" si="5"/>
        <v>16619.866445729935</v>
      </c>
      <c r="H43" s="15">
        <v>45453</v>
      </c>
      <c r="I43" s="6" t="s">
        <v>24</v>
      </c>
      <c r="J43" s="6" t="s">
        <v>98</v>
      </c>
      <c r="K43" s="6" t="s">
        <v>98</v>
      </c>
      <c r="L43" s="3" t="s">
        <v>26</v>
      </c>
      <c r="M43" s="3" t="s">
        <v>27</v>
      </c>
      <c r="N43" s="1">
        <v>0.16</v>
      </c>
      <c r="O43" s="17">
        <f t="shared" si="6"/>
        <v>6.25</v>
      </c>
    </row>
    <row r="44" spans="1:15" ht="16" thickBot="1" x14ac:dyDescent="0.25">
      <c r="A44" t="s">
        <v>56</v>
      </c>
      <c r="B44" t="s">
        <v>57</v>
      </c>
      <c r="C44" t="s">
        <v>22</v>
      </c>
      <c r="D44" t="s">
        <v>97</v>
      </c>
      <c r="E44" s="3">
        <v>55000000</v>
      </c>
      <c r="G44" s="6">
        <f t="shared" si="5"/>
        <v>13643.173947987259</v>
      </c>
      <c r="H44" s="15">
        <v>45451</v>
      </c>
      <c r="I44" s="6" t="s">
        <v>24</v>
      </c>
      <c r="J44" s="6" t="s">
        <v>98</v>
      </c>
      <c r="K44" s="6" t="s">
        <v>98</v>
      </c>
      <c r="L44" s="3" t="s">
        <v>26</v>
      </c>
      <c r="M44" s="3" t="s">
        <v>27</v>
      </c>
      <c r="N44" s="1">
        <v>0.16</v>
      </c>
      <c r="O44" s="17">
        <f t="shared" si="6"/>
        <v>6.25</v>
      </c>
    </row>
    <row r="45" spans="1:15" s="24" customFormat="1" x14ac:dyDescent="0.2">
      <c r="A45" s="23" t="s">
        <v>56</v>
      </c>
      <c r="B45" s="24" t="s">
        <v>61</v>
      </c>
      <c r="C45" s="24" t="s">
        <v>22</v>
      </c>
      <c r="D45" s="24" t="s">
        <v>97</v>
      </c>
      <c r="E45" s="25">
        <v>-205000000</v>
      </c>
      <c r="G45" s="26">
        <f t="shared" si="5"/>
        <v>-50851.830169770692</v>
      </c>
      <c r="H45" s="27">
        <v>45465</v>
      </c>
      <c r="I45" s="26" t="s">
        <v>24</v>
      </c>
      <c r="J45" s="26" t="s">
        <v>98</v>
      </c>
      <c r="K45" s="26" t="s">
        <v>98</v>
      </c>
      <c r="L45" s="25" t="s">
        <v>26</v>
      </c>
      <c r="M45" s="25" t="s">
        <v>27</v>
      </c>
      <c r="N45" s="28">
        <v>0.16</v>
      </c>
      <c r="O45" s="29">
        <f t="shared" si="6"/>
        <v>6.25</v>
      </c>
    </row>
    <row r="46" spans="1:15" s="31" customFormat="1" ht="16" thickBot="1" x14ac:dyDescent="0.25">
      <c r="A46" s="30" t="s">
        <v>56</v>
      </c>
      <c r="B46" s="31" t="s">
        <v>61</v>
      </c>
      <c r="C46" s="31" t="s">
        <v>22</v>
      </c>
      <c r="D46" s="31" t="s">
        <v>97</v>
      </c>
      <c r="E46" s="32">
        <v>160000000</v>
      </c>
      <c r="G46" s="33">
        <f t="shared" si="5"/>
        <v>39689.233303235662</v>
      </c>
      <c r="H46" s="34">
        <v>45472</v>
      </c>
      <c r="I46" s="33" t="s">
        <v>24</v>
      </c>
      <c r="J46" s="33" t="s">
        <v>98</v>
      </c>
      <c r="K46" s="33" t="s">
        <v>98</v>
      </c>
      <c r="L46" s="32" t="s">
        <v>26</v>
      </c>
      <c r="M46" s="32" t="s">
        <v>27</v>
      </c>
      <c r="N46" s="35">
        <v>0.16</v>
      </c>
      <c r="O46" s="36">
        <f t="shared" si="6"/>
        <v>6.25</v>
      </c>
    </row>
    <row r="47" spans="1:15" x14ac:dyDescent="0.2">
      <c r="A47" t="s">
        <v>20</v>
      </c>
      <c r="B47" t="s">
        <v>67</v>
      </c>
      <c r="C47" t="s">
        <v>22</v>
      </c>
      <c r="D47" t="s">
        <v>52</v>
      </c>
      <c r="E47" s="39">
        <v>3283.27</v>
      </c>
      <c r="G47" s="3">
        <f>+E47</f>
        <v>3283.27</v>
      </c>
    </row>
    <row r="48" spans="1:15" x14ac:dyDescent="0.2">
      <c r="A48" t="s">
        <v>20</v>
      </c>
      <c r="B48" t="s">
        <v>67</v>
      </c>
      <c r="C48" t="s">
        <v>22</v>
      </c>
      <c r="D48" t="s">
        <v>68</v>
      </c>
      <c r="G48" s="3">
        <v>28290</v>
      </c>
    </row>
    <row r="49" spans="1:20" x14ac:dyDescent="0.2">
      <c r="A49" t="s">
        <v>20</v>
      </c>
      <c r="B49" t="s">
        <v>101</v>
      </c>
      <c r="C49" t="s">
        <v>22</v>
      </c>
      <c r="D49" t="s">
        <v>68</v>
      </c>
      <c r="G49" s="3">
        <v>99360</v>
      </c>
      <c r="H49" s="3"/>
      <c r="I49" s="3"/>
      <c r="J49" s="3"/>
    </row>
    <row r="50" spans="1:20" x14ac:dyDescent="0.2">
      <c r="A50" t="s">
        <v>20</v>
      </c>
      <c r="B50" t="s">
        <v>21</v>
      </c>
      <c r="C50" t="s">
        <v>22</v>
      </c>
      <c r="D50" t="s">
        <v>68</v>
      </c>
      <c r="G50">
        <v>10350</v>
      </c>
      <c r="H50" s="3"/>
      <c r="I50" s="3"/>
      <c r="J50" s="3"/>
    </row>
    <row r="51" spans="1:20" x14ac:dyDescent="0.2">
      <c r="A51" t="s">
        <v>20</v>
      </c>
      <c r="B51" t="s">
        <v>101</v>
      </c>
      <c r="C51" t="s">
        <v>22</v>
      </c>
      <c r="D51" t="s">
        <v>52</v>
      </c>
      <c r="E51" s="3">
        <v>1280.81</v>
      </c>
      <c r="F51" s="3"/>
      <c r="G51" s="3">
        <f>+E51</f>
        <v>1280.81</v>
      </c>
    </row>
    <row r="52" spans="1:20" x14ac:dyDescent="0.2">
      <c r="A52" t="s">
        <v>20</v>
      </c>
      <c r="B52" t="s">
        <v>70</v>
      </c>
      <c r="C52" t="s">
        <v>29</v>
      </c>
      <c r="D52" s="5" t="s">
        <v>52</v>
      </c>
      <c r="F52" s="3"/>
      <c r="G52" s="3">
        <v>62107</v>
      </c>
      <c r="H52" s="3"/>
      <c r="I52" s="3" t="s">
        <v>52</v>
      </c>
      <c r="J52" s="3" t="s">
        <v>52</v>
      </c>
      <c r="K52" s="3" t="s">
        <v>52</v>
      </c>
      <c r="L52" s="3" t="s">
        <v>32</v>
      </c>
      <c r="M52" s="3" t="s">
        <v>27</v>
      </c>
      <c r="N52" s="4">
        <v>0</v>
      </c>
    </row>
    <row r="53" spans="1:20" x14ac:dyDescent="0.2">
      <c r="A53" t="s">
        <v>20</v>
      </c>
      <c r="B53" t="s">
        <v>102</v>
      </c>
      <c r="C53" t="s">
        <v>29</v>
      </c>
      <c r="D53" t="s">
        <v>71</v>
      </c>
      <c r="E53">
        <v>500000</v>
      </c>
      <c r="F53">
        <v>98.787599999999998</v>
      </c>
      <c r="G53" s="6">
        <f>+F53%*E53</f>
        <v>493938</v>
      </c>
      <c r="H53" s="40">
        <v>45281</v>
      </c>
    </row>
    <row r="54" spans="1:20" x14ac:dyDescent="0.2">
      <c r="A54" t="s">
        <v>20</v>
      </c>
      <c r="B54" t="s">
        <v>72</v>
      </c>
      <c r="C54" t="s">
        <v>22</v>
      </c>
      <c r="D54" t="s">
        <v>73</v>
      </c>
      <c r="E54">
        <v>6393</v>
      </c>
      <c r="F54">
        <v>1799</v>
      </c>
      <c r="G54" s="41">
        <f>11501007/COP</f>
        <v>2852.9134377821656</v>
      </c>
    </row>
    <row r="55" spans="1:20" x14ac:dyDescent="0.2">
      <c r="A55" t="s">
        <v>20</v>
      </c>
      <c r="B55" t="s">
        <v>61</v>
      </c>
      <c r="C55" t="s">
        <v>22</v>
      </c>
      <c r="D55" s="18" t="s">
        <v>74</v>
      </c>
      <c r="E55" s="3">
        <v>832</v>
      </c>
      <c r="F55" s="3">
        <v>9.1999999999999993</v>
      </c>
      <c r="G55" s="3">
        <f t="shared" ref="G55:G60" si="7">+F55*E55</f>
        <v>7654.4</v>
      </c>
      <c r="H55" s="3"/>
      <c r="I55" s="3" t="s">
        <v>41</v>
      </c>
      <c r="J55" s="3" t="s">
        <v>54</v>
      </c>
      <c r="K55" s="3" t="s">
        <v>75</v>
      </c>
      <c r="L55" s="3" t="s">
        <v>32</v>
      </c>
      <c r="M55" s="3" t="s">
        <v>60</v>
      </c>
      <c r="N55" s="3"/>
      <c r="O55" s="3"/>
      <c r="P55" s="4">
        <v>1.7000000000000001E-2</v>
      </c>
      <c r="Q55" s="4">
        <v>0.05</v>
      </c>
      <c r="R55" s="4"/>
      <c r="T55" s="8">
        <f>+P55*G55</f>
        <v>130.12479999999999</v>
      </c>
    </row>
    <row r="56" spans="1:20" x14ac:dyDescent="0.2">
      <c r="A56" t="s">
        <v>20</v>
      </c>
      <c r="B56" t="s">
        <v>61</v>
      </c>
      <c r="C56" t="s">
        <v>22</v>
      </c>
      <c r="D56" s="18" t="s">
        <v>76</v>
      </c>
      <c r="E56" s="3">
        <v>284</v>
      </c>
      <c r="F56" s="3">
        <v>32.49</v>
      </c>
      <c r="G56" s="3">
        <f t="shared" si="7"/>
        <v>9227.16</v>
      </c>
      <c r="H56" s="3"/>
      <c r="I56" s="3" t="s">
        <v>41</v>
      </c>
      <c r="J56" s="3" t="s">
        <v>54</v>
      </c>
      <c r="K56" s="3" t="s">
        <v>77</v>
      </c>
      <c r="L56" s="3" t="s">
        <v>78</v>
      </c>
      <c r="M56" s="3" t="s">
        <v>60</v>
      </c>
      <c r="N56" s="3"/>
      <c r="O56" s="3"/>
      <c r="P56" s="4">
        <v>1.7500000000000002E-2</v>
      </c>
      <c r="Q56" s="4">
        <v>0.05</v>
      </c>
      <c r="R56" s="4">
        <v>5.0000000000000001E-3</v>
      </c>
      <c r="T56" s="8">
        <f>+P56*G56</f>
        <v>161.4753</v>
      </c>
    </row>
    <row r="57" spans="1:20" x14ac:dyDescent="0.2">
      <c r="A57" t="s">
        <v>20</v>
      </c>
      <c r="B57" t="s">
        <v>61</v>
      </c>
      <c r="C57" t="s">
        <v>22</v>
      </c>
      <c r="D57" s="18" t="s">
        <v>79</v>
      </c>
      <c r="E57" s="3">
        <v>47</v>
      </c>
      <c r="F57" s="3">
        <v>216.73</v>
      </c>
      <c r="G57" s="3">
        <f t="shared" si="7"/>
        <v>10186.31</v>
      </c>
      <c r="H57" s="3"/>
      <c r="I57" s="3" t="s">
        <v>41</v>
      </c>
      <c r="J57" s="3" t="s">
        <v>80</v>
      </c>
      <c r="K57" s="3" t="s">
        <v>81</v>
      </c>
      <c r="L57" s="3" t="s">
        <v>78</v>
      </c>
      <c r="M57" s="3" t="s">
        <v>60</v>
      </c>
      <c r="N57" s="3"/>
      <c r="O57" s="3"/>
      <c r="P57" s="4">
        <v>1.4E-2</v>
      </c>
      <c r="Q57" s="4">
        <v>0.05</v>
      </c>
      <c r="R57" s="4">
        <v>0.03</v>
      </c>
      <c r="T57" s="8">
        <f>+P57*G57</f>
        <v>142.60834</v>
      </c>
    </row>
    <row r="58" spans="1:20" x14ac:dyDescent="0.2">
      <c r="A58" t="s">
        <v>20</v>
      </c>
      <c r="B58" t="s">
        <v>61</v>
      </c>
      <c r="C58" t="s">
        <v>22</v>
      </c>
      <c r="D58" s="18" t="s">
        <v>82</v>
      </c>
      <c r="E58" s="3">
        <v>1529</v>
      </c>
      <c r="F58" s="3">
        <v>13.5</v>
      </c>
      <c r="G58" s="3">
        <f t="shared" si="7"/>
        <v>20641.5</v>
      </c>
      <c r="H58" s="3"/>
      <c r="I58" s="3" t="s">
        <v>83</v>
      </c>
      <c r="J58" s="3" t="s">
        <v>84</v>
      </c>
      <c r="K58" s="3" t="s">
        <v>84</v>
      </c>
      <c r="L58" s="3" t="s">
        <v>32</v>
      </c>
      <c r="M58" s="3" t="s">
        <v>60</v>
      </c>
      <c r="N58" s="3"/>
      <c r="O58" s="3"/>
      <c r="P58" s="4"/>
      <c r="Q58" s="4"/>
      <c r="R58" s="4"/>
    </row>
    <row r="59" spans="1:20" x14ac:dyDescent="0.2">
      <c r="A59" t="s">
        <v>20</v>
      </c>
      <c r="B59" t="s">
        <v>61</v>
      </c>
      <c r="C59" t="s">
        <v>22</v>
      </c>
      <c r="D59" s="18" t="s">
        <v>85</v>
      </c>
      <c r="E59" s="3">
        <v>943</v>
      </c>
      <c r="F59" s="3">
        <v>18.37</v>
      </c>
      <c r="G59" s="3">
        <f t="shared" si="7"/>
        <v>17322.91</v>
      </c>
      <c r="H59" s="3"/>
      <c r="I59" s="3" t="s">
        <v>41</v>
      </c>
      <c r="J59" s="3" t="s">
        <v>86</v>
      </c>
      <c r="K59" s="3" t="s">
        <v>87</v>
      </c>
      <c r="L59" s="3" t="s">
        <v>88</v>
      </c>
      <c r="M59" s="3" t="s">
        <v>60</v>
      </c>
      <c r="N59" s="3"/>
      <c r="O59" s="3"/>
      <c r="P59" s="4">
        <v>1.8100000000000002E-2</v>
      </c>
      <c r="Q59" s="4">
        <v>0.05</v>
      </c>
      <c r="R59" s="4">
        <v>0</v>
      </c>
      <c r="T59" s="8">
        <f>+P59*G59</f>
        <v>313.54467100000005</v>
      </c>
    </row>
    <row r="60" spans="1:20" x14ac:dyDescent="0.2">
      <c r="A60" t="s">
        <v>20</v>
      </c>
      <c r="B60" t="s">
        <v>61</v>
      </c>
      <c r="C60" t="s">
        <v>22</v>
      </c>
      <c r="D60" s="19" t="s">
        <v>89</v>
      </c>
      <c r="E60" s="3">
        <v>320</v>
      </c>
      <c r="F60" s="3">
        <v>129.06</v>
      </c>
      <c r="G60" s="3">
        <f t="shared" si="7"/>
        <v>41299.199999999997</v>
      </c>
      <c r="H60" s="3"/>
      <c r="I60" s="3" t="s">
        <v>83</v>
      </c>
      <c r="J60" s="3" t="s">
        <v>84</v>
      </c>
      <c r="K60" s="3" t="s">
        <v>84</v>
      </c>
      <c r="L60" s="3" t="s">
        <v>32</v>
      </c>
      <c r="M60" s="3" t="s">
        <v>60</v>
      </c>
      <c r="N60" s="3"/>
      <c r="O60" s="3"/>
      <c r="P60" s="4">
        <v>1.6E-2</v>
      </c>
      <c r="Q60" s="20">
        <v>0.05</v>
      </c>
      <c r="R60" s="4">
        <v>0.03</v>
      </c>
      <c r="S60" s="1">
        <v>0.2</v>
      </c>
      <c r="T60" s="8">
        <f>+P60*G60</f>
        <v>660.78719999999998</v>
      </c>
    </row>
    <row r="61" spans="1:20" x14ac:dyDescent="0.2">
      <c r="A61" t="s">
        <v>56</v>
      </c>
      <c r="B61" t="s">
        <v>61</v>
      </c>
      <c r="C61" t="s">
        <v>22</v>
      </c>
      <c r="D61" t="s">
        <v>97</v>
      </c>
      <c r="E61" s="3">
        <f>205000000*0</f>
        <v>0</v>
      </c>
      <c r="G61" s="6">
        <f>+E61/COP</f>
        <v>0</v>
      </c>
      <c r="H61" s="14">
        <v>45465</v>
      </c>
      <c r="I61" s="6" t="s">
        <v>24</v>
      </c>
      <c r="J61" s="6" t="s">
        <v>98</v>
      </c>
      <c r="K61" s="6" t="s">
        <v>98</v>
      </c>
      <c r="L61" s="3" t="s">
        <v>26</v>
      </c>
      <c r="M61" s="3" t="s">
        <v>27</v>
      </c>
      <c r="N61" s="1">
        <v>0.16</v>
      </c>
      <c r="O61" s="17">
        <f>1/N61</f>
        <v>6.25</v>
      </c>
    </row>
    <row r="62" spans="1:20" x14ac:dyDescent="0.2">
      <c r="A62" t="s">
        <v>56</v>
      </c>
      <c r="B62" t="s">
        <v>61</v>
      </c>
      <c r="C62" t="s">
        <v>22</v>
      </c>
      <c r="D62" t="s">
        <v>97</v>
      </c>
      <c r="E62" s="3">
        <f>160000000*0</f>
        <v>0</v>
      </c>
      <c r="G62" s="6">
        <f>+E62/COP</f>
        <v>0</v>
      </c>
      <c r="H62" s="15">
        <v>45472</v>
      </c>
      <c r="I62" s="6" t="s">
        <v>24</v>
      </c>
      <c r="J62" s="6" t="s">
        <v>98</v>
      </c>
      <c r="K62" s="6" t="s">
        <v>98</v>
      </c>
      <c r="L62" s="3" t="s">
        <v>26</v>
      </c>
      <c r="M62" s="3" t="s">
        <v>27</v>
      </c>
      <c r="N62" s="1">
        <v>0.16</v>
      </c>
      <c r="O62" s="17">
        <f>1/N62</f>
        <v>6.25</v>
      </c>
    </row>
    <row r="63" spans="1:20" x14ac:dyDescent="0.2">
      <c r="A63" t="s">
        <v>56</v>
      </c>
      <c r="B63" t="s">
        <v>57</v>
      </c>
      <c r="C63" t="s">
        <v>22</v>
      </c>
      <c r="D63" t="s">
        <v>99</v>
      </c>
      <c r="E63" s="3">
        <f>140000000*0</f>
        <v>0</v>
      </c>
      <c r="G63" s="6">
        <f>+E63/COP</f>
        <v>0</v>
      </c>
      <c r="H63" s="15">
        <v>45472</v>
      </c>
      <c r="I63" s="6" t="s">
        <v>24</v>
      </c>
      <c r="J63" s="6" t="s">
        <v>100</v>
      </c>
      <c r="K63" s="6" t="s">
        <v>100</v>
      </c>
      <c r="L63" s="3" t="s">
        <v>26</v>
      </c>
      <c r="M63" s="3" t="s">
        <v>27</v>
      </c>
      <c r="N63" s="1">
        <v>0.16</v>
      </c>
      <c r="O63" s="17">
        <f>1/N63</f>
        <v>6.25</v>
      </c>
    </row>
    <row r="64" spans="1:20" x14ac:dyDescent="0.2">
      <c r="A64" t="s">
        <v>56</v>
      </c>
      <c r="B64" t="s">
        <v>57</v>
      </c>
      <c r="C64" t="s">
        <v>22</v>
      </c>
      <c r="D64" t="s">
        <v>97</v>
      </c>
      <c r="E64" s="3">
        <f>67000000*0</f>
        <v>0</v>
      </c>
      <c r="G64" s="6">
        <f>+E64/COP</f>
        <v>0</v>
      </c>
      <c r="H64" s="15">
        <v>45453</v>
      </c>
      <c r="I64" s="6" t="s">
        <v>24</v>
      </c>
      <c r="J64" s="6" t="s">
        <v>98</v>
      </c>
      <c r="K64" s="6" t="s">
        <v>98</v>
      </c>
      <c r="L64" s="3" t="s">
        <v>26</v>
      </c>
      <c r="M64" s="3" t="s">
        <v>27</v>
      </c>
      <c r="N64" s="1">
        <v>0.16</v>
      </c>
      <c r="O64" s="17">
        <f>1/N64</f>
        <v>6.25</v>
      </c>
    </row>
    <row r="65" spans="1:15" x14ac:dyDescent="0.2">
      <c r="A65" t="s">
        <v>56</v>
      </c>
      <c r="B65" t="s">
        <v>57</v>
      </c>
      <c r="C65" t="s">
        <v>22</v>
      </c>
      <c r="D65" t="s">
        <v>97</v>
      </c>
      <c r="E65" s="3">
        <f>55000000*0</f>
        <v>0</v>
      </c>
      <c r="G65" s="6">
        <f>+E65/COP</f>
        <v>0</v>
      </c>
      <c r="H65" s="15">
        <v>45451</v>
      </c>
      <c r="I65" s="6" t="s">
        <v>24</v>
      </c>
      <c r="J65" s="6" t="s">
        <v>98</v>
      </c>
      <c r="K65" s="6" t="s">
        <v>98</v>
      </c>
      <c r="L65" s="3" t="s">
        <v>26</v>
      </c>
      <c r="M65" s="3" t="s">
        <v>27</v>
      </c>
      <c r="N65" s="1">
        <v>0.16</v>
      </c>
      <c r="O65" s="17">
        <f>1/N65</f>
        <v>6.25</v>
      </c>
    </row>
    <row r="66" spans="1:15" hidden="1" x14ac:dyDescent="0.2">
      <c r="A66" t="s">
        <v>56</v>
      </c>
      <c r="B66" t="s">
        <v>61</v>
      </c>
      <c r="C66" t="s">
        <v>22</v>
      </c>
      <c r="D66" t="s">
        <v>62</v>
      </c>
      <c r="E66" s="3">
        <v>250000000</v>
      </c>
      <c r="F66" s="37">
        <f>233192200/E66</f>
        <v>0.93276879999999995</v>
      </c>
      <c r="G66" s="6">
        <f>+F66*E66/COP</f>
        <v>57845.122689342446</v>
      </c>
      <c r="H66" s="15">
        <v>47176</v>
      </c>
      <c r="I66" s="6" t="s">
        <v>24</v>
      </c>
      <c r="J66" s="6" t="s">
        <v>63</v>
      </c>
      <c r="K66" s="6" t="s">
        <v>64</v>
      </c>
      <c r="L66" s="3" t="s">
        <v>26</v>
      </c>
      <c r="M66" s="3" t="s">
        <v>27</v>
      </c>
      <c r="N66" s="7">
        <v>0.1825</v>
      </c>
      <c r="O66" s="17"/>
    </row>
    <row r="67" spans="1:15" hidden="1" x14ac:dyDescent="0.2">
      <c r="A67" t="s">
        <v>56</v>
      </c>
      <c r="B67" t="s">
        <v>61</v>
      </c>
      <c r="C67" t="s">
        <v>22</v>
      </c>
      <c r="D67" t="s">
        <v>62</v>
      </c>
      <c r="E67" s="3">
        <v>85000000</v>
      </c>
      <c r="F67" s="37">
        <f>95660734/E67</f>
        <v>1.1254204000000001</v>
      </c>
      <c r="G67" s="6">
        <f>+F67*E67/COP</f>
        <v>23729.382435529806</v>
      </c>
      <c r="H67" s="15">
        <v>47176</v>
      </c>
      <c r="I67" s="6" t="s">
        <v>24</v>
      </c>
      <c r="J67" s="6" t="s">
        <v>98</v>
      </c>
      <c r="K67" s="6" t="s">
        <v>98</v>
      </c>
      <c r="L67" s="3" t="s">
        <v>26</v>
      </c>
      <c r="M67" s="3" t="s">
        <v>27</v>
      </c>
      <c r="N67" s="1">
        <v>0.16</v>
      </c>
      <c r="O67" s="17">
        <f>1/N67</f>
        <v>6.25</v>
      </c>
    </row>
    <row r="68" spans="1:15" hidden="1" x14ac:dyDescent="0.2">
      <c r="A68" t="s">
        <v>20</v>
      </c>
      <c r="B68" t="s">
        <v>61</v>
      </c>
      <c r="C68" t="s">
        <v>22</v>
      </c>
      <c r="D68" t="s">
        <v>103</v>
      </c>
      <c r="E68" s="38">
        <f>144000+41000+15000</f>
        <v>200000</v>
      </c>
      <c r="F68" s="8">
        <v>78</v>
      </c>
      <c r="G68" s="6">
        <f>+E68*F68%</f>
        <v>156000</v>
      </c>
      <c r="H68" s="15">
        <v>109575</v>
      </c>
      <c r="I68" s="6" t="s">
        <v>24</v>
      </c>
      <c r="J68" s="6" t="s">
        <v>69</v>
      </c>
      <c r="K68" s="6" t="s">
        <v>69</v>
      </c>
      <c r="L68" s="3" t="s">
        <v>26</v>
      </c>
      <c r="M68" s="3" t="s">
        <v>27</v>
      </c>
    </row>
    <row r="69" spans="1:15" hidden="1" x14ac:dyDescent="0.2">
      <c r="A69" t="s">
        <v>56</v>
      </c>
      <c r="B69" t="s">
        <v>21</v>
      </c>
      <c r="C69" t="s">
        <v>22</v>
      </c>
      <c r="D69" t="s">
        <v>65</v>
      </c>
      <c r="E69" s="6">
        <v>1610904</v>
      </c>
      <c r="F69" s="6"/>
      <c r="G69" s="6">
        <f>+E69/COP</f>
        <v>399.59715428197217</v>
      </c>
    </row>
    <row r="70" spans="1:15" hidden="1" x14ac:dyDescent="0.2">
      <c r="A70" t="s">
        <v>56</v>
      </c>
      <c r="B70" t="s">
        <v>61</v>
      </c>
      <c r="C70" t="s">
        <v>22</v>
      </c>
      <c r="D70" t="s">
        <v>66</v>
      </c>
      <c r="E70" s="3">
        <v>275.62</v>
      </c>
      <c r="F70" s="3">
        <v>8839</v>
      </c>
      <c r="G70" s="3">
        <f>2436339.21/COP</f>
        <v>604.35272069694292</v>
      </c>
      <c r="H70" s="3"/>
      <c r="I70" s="3"/>
      <c r="J70" s="3"/>
    </row>
    <row r="71" spans="1:15" hidden="1" x14ac:dyDescent="0.2">
      <c r="A71" t="s">
        <v>56</v>
      </c>
      <c r="B71" t="s">
        <v>61</v>
      </c>
      <c r="C71" t="s">
        <v>22</v>
      </c>
      <c r="D71" t="s">
        <v>65</v>
      </c>
      <c r="E71" s="3">
        <v>885.5</v>
      </c>
      <c r="F71" s="3">
        <v>22466</v>
      </c>
      <c r="G71" s="3">
        <f>+F71*E71/COP</f>
        <v>4934.771489239256</v>
      </c>
      <c r="H71" s="3"/>
      <c r="I71" s="3"/>
      <c r="J71" s="3"/>
    </row>
    <row r="72" spans="1:15" x14ac:dyDescent="0.2">
      <c r="A72" t="s">
        <v>56</v>
      </c>
      <c r="B72" t="s">
        <v>57</v>
      </c>
    </row>
  </sheetData>
  <autoFilter ref="A2:T54" xr:uid="{A472807D-6817-4C35-90DE-CFB15D57F4A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F213-FBE1-6F47-863E-2331A1365F8C}">
  <dimension ref="D6"/>
  <sheetViews>
    <sheetView workbookViewId="0">
      <selection activeCell="D8" sqref="D6:D8"/>
    </sheetView>
  </sheetViews>
  <sheetFormatPr baseColWidth="10" defaultColWidth="11.5" defaultRowHeight="15" x14ac:dyDescent="0.2"/>
  <cols>
    <col min="4" max="4" width="13.5" bestFit="1" customWidth="1"/>
  </cols>
  <sheetData>
    <row r="6" spans="4:4" x14ac:dyDescent="0.2">
      <c r="D6"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706C0-92C5-4762-88B6-EEAC1DDC6C83}">
  <dimension ref="A3:V22"/>
  <sheetViews>
    <sheetView workbookViewId="0">
      <selection activeCell="Q12" sqref="Q12"/>
    </sheetView>
  </sheetViews>
  <sheetFormatPr baseColWidth="10" defaultColWidth="9.1640625" defaultRowHeight="15" x14ac:dyDescent="0.2"/>
  <cols>
    <col min="1" max="1" width="15.33203125" style="3" bestFit="1" customWidth="1"/>
    <col min="2" max="2" width="21.1640625" style="3" bestFit="1" customWidth="1"/>
    <col min="3" max="3" width="9" style="3" bestFit="1" customWidth="1"/>
    <col min="4" max="4" width="12" style="3" bestFit="1" customWidth="1"/>
    <col min="5" max="7" width="9" style="3" bestFit="1" customWidth="1"/>
    <col min="8" max="9" width="12" style="3" bestFit="1" customWidth="1"/>
    <col min="10" max="18" width="9.1640625" style="3"/>
    <col min="19" max="19" width="10.1640625" style="3" bestFit="1" customWidth="1"/>
    <col min="20" max="16384" width="9.1640625" style="3"/>
  </cols>
  <sheetData>
    <row r="3" spans="1:22" x14ac:dyDescent="0.2">
      <c r="A3" s="10" t="s">
        <v>104</v>
      </c>
      <c r="B3" s="6" t="s">
        <v>105</v>
      </c>
      <c r="S3" s="3">
        <v>2500000</v>
      </c>
      <c r="U3" s="3">
        <f>+S3*0.3%</f>
        <v>7500</v>
      </c>
      <c r="V3" s="3">
        <f>+U3/12</f>
        <v>625</v>
      </c>
    </row>
    <row r="4" spans="1:22" x14ac:dyDescent="0.2">
      <c r="A4" s="11" t="s">
        <v>26</v>
      </c>
      <c r="B4" s="6">
        <v>457080.5343752809</v>
      </c>
    </row>
    <row r="5" spans="1:22" x14ac:dyDescent="0.2">
      <c r="A5" s="12" t="s">
        <v>41</v>
      </c>
      <c r="B5" s="6">
        <v>43774.219986849515</v>
      </c>
    </row>
    <row r="6" spans="1:22" x14ac:dyDescent="0.2">
      <c r="A6" s="12" t="s">
        <v>24</v>
      </c>
      <c r="B6" s="6">
        <v>413306.31438843138</v>
      </c>
    </row>
    <row r="7" spans="1:22" x14ac:dyDescent="0.2">
      <c r="A7" s="11" t="s">
        <v>50</v>
      </c>
      <c r="B7" s="6">
        <v>2529.65</v>
      </c>
    </row>
    <row r="8" spans="1:22" x14ac:dyDescent="0.2">
      <c r="A8" s="12" t="s">
        <v>41</v>
      </c>
      <c r="B8" s="6">
        <v>2529.65</v>
      </c>
    </row>
    <row r="9" spans="1:22" x14ac:dyDescent="0.2">
      <c r="A9" s="11" t="s">
        <v>47</v>
      </c>
      <c r="B9" s="6">
        <v>719.625</v>
      </c>
    </row>
    <row r="10" spans="1:22" x14ac:dyDescent="0.2">
      <c r="A10" s="12" t="s">
        <v>41</v>
      </c>
      <c r="B10" s="6">
        <v>719.625</v>
      </c>
    </row>
    <row r="11" spans="1:22" x14ac:dyDescent="0.2">
      <c r="A11" s="11" t="s">
        <v>32</v>
      </c>
      <c r="B11" s="6">
        <v>614663.01199999999</v>
      </c>
    </row>
    <row r="12" spans="1:22" x14ac:dyDescent="0.2">
      <c r="A12" s="12" t="s">
        <v>52</v>
      </c>
      <c r="B12" s="6">
        <v>74210.92</v>
      </c>
    </row>
    <row r="13" spans="1:22" x14ac:dyDescent="0.2">
      <c r="A13" s="12" t="s">
        <v>41</v>
      </c>
      <c r="B13" s="6">
        <v>43636.525099999999</v>
      </c>
    </row>
    <row r="14" spans="1:22" x14ac:dyDescent="0.2">
      <c r="A14" s="12" t="s">
        <v>24</v>
      </c>
      <c r="B14" s="6">
        <v>496815.56689999998</v>
      </c>
    </row>
    <row r="15" spans="1:22" x14ac:dyDescent="0.2">
      <c r="A15" s="11" t="s">
        <v>106</v>
      </c>
      <c r="B15" s="6">
        <v>1074992.8213752809</v>
      </c>
    </row>
    <row r="16" spans="1:22" x14ac:dyDescent="0.2">
      <c r="A16"/>
      <c r="B16"/>
    </row>
    <row r="17" spans="1:2" x14ac:dyDescent="0.2">
      <c r="A17"/>
      <c r="B17"/>
    </row>
    <row r="18" spans="1:2" x14ac:dyDescent="0.2">
      <c r="A18"/>
      <c r="B18"/>
    </row>
    <row r="19" spans="1:2" x14ac:dyDescent="0.2">
      <c r="A19"/>
      <c r="B19"/>
    </row>
    <row r="20" spans="1:2" x14ac:dyDescent="0.2">
      <c r="A20"/>
      <c r="B20"/>
    </row>
    <row r="21" spans="1:2" x14ac:dyDescent="0.2">
      <c r="A21"/>
      <c r="B21"/>
    </row>
    <row r="22" spans="1:2" x14ac:dyDescent="0.2">
      <c r="A22"/>
      <c r="B22"/>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7D0E6-3E2C-45C6-AA58-A77550E4DFA6}">
  <dimension ref="A1:B62"/>
  <sheetViews>
    <sheetView workbookViewId="0">
      <selection activeCell="B20" sqref="B20"/>
    </sheetView>
  </sheetViews>
  <sheetFormatPr baseColWidth="10" defaultColWidth="9.1640625" defaultRowHeight="15" x14ac:dyDescent="0.2"/>
  <cols>
    <col min="1" max="1" width="20.5" style="3" bestFit="1" customWidth="1"/>
    <col min="2" max="2" width="21.1640625" style="3" bestFit="1" customWidth="1"/>
    <col min="3" max="3" width="9" style="3" bestFit="1" customWidth="1"/>
    <col min="4" max="4" width="12" style="3" bestFit="1" customWidth="1"/>
    <col min="5" max="7" width="9" style="3" bestFit="1" customWidth="1"/>
    <col min="8" max="9" width="12" style="3" bestFit="1" customWidth="1"/>
    <col min="10" max="16384" width="9.1640625" style="3"/>
  </cols>
  <sheetData>
    <row r="1" spans="1:2" x14ac:dyDescent="0.2">
      <c r="A1" s="10" t="s">
        <v>8</v>
      </c>
      <c r="B1" s="6" t="s">
        <v>24</v>
      </c>
    </row>
    <row r="3" spans="1:2" x14ac:dyDescent="0.2">
      <c r="A3" s="10" t="s">
        <v>104</v>
      </c>
      <c r="B3" s="6" t="s">
        <v>105</v>
      </c>
    </row>
    <row r="4" spans="1:2" x14ac:dyDescent="0.2">
      <c r="A4" s="11" t="s">
        <v>25</v>
      </c>
      <c r="B4" s="6">
        <v>135079.6</v>
      </c>
    </row>
    <row r="5" spans="1:2" x14ac:dyDescent="0.2">
      <c r="A5" s="11" t="s">
        <v>39</v>
      </c>
      <c r="B5" s="6">
        <v>494177.58</v>
      </c>
    </row>
    <row r="6" spans="1:2" x14ac:dyDescent="0.2">
      <c r="A6" s="11" t="s">
        <v>30</v>
      </c>
      <c r="B6" s="6">
        <v>102.16499999999999</v>
      </c>
    </row>
    <row r="7" spans="1:2" x14ac:dyDescent="0.2">
      <c r="A7" s="11" t="s">
        <v>33</v>
      </c>
      <c r="B7" s="6">
        <v>236.09950000000001</v>
      </c>
    </row>
    <row r="8" spans="1:2" x14ac:dyDescent="0.2">
      <c r="A8" s="11" t="s">
        <v>35</v>
      </c>
      <c r="B8" s="6">
        <v>2299.7224000000001</v>
      </c>
    </row>
    <row r="9" spans="1:2" x14ac:dyDescent="0.2">
      <c r="A9" s="11" t="s">
        <v>63</v>
      </c>
      <c r="B9" s="6">
        <v>133676.56280304072</v>
      </c>
    </row>
    <row r="10" spans="1:2" x14ac:dyDescent="0.2">
      <c r="A10" s="11" t="s">
        <v>26</v>
      </c>
      <c r="B10" s="6">
        <v>6550.1515853906603</v>
      </c>
    </row>
    <row r="11" spans="1:2" x14ac:dyDescent="0.2">
      <c r="A11" s="11" t="s">
        <v>69</v>
      </c>
      <c r="B11" s="6">
        <v>138000</v>
      </c>
    </row>
    <row r="12" spans="1:2" x14ac:dyDescent="0.2">
      <c r="A12" s="11" t="s">
        <v>106</v>
      </c>
      <c r="B12" s="6">
        <v>910121.88128843147</v>
      </c>
    </row>
    <row r="13" spans="1:2" x14ac:dyDescent="0.2">
      <c r="A13"/>
      <c r="B13"/>
    </row>
    <row r="14" spans="1:2" x14ac:dyDescent="0.2">
      <c r="A14"/>
      <c r="B14"/>
    </row>
    <row r="15" spans="1:2" x14ac:dyDescent="0.2">
      <c r="A15"/>
      <c r="B15"/>
    </row>
    <row r="16" spans="1:2" x14ac:dyDescent="0.2">
      <c r="A16"/>
      <c r="B16"/>
    </row>
    <row r="17" spans="1:2" x14ac:dyDescent="0.2">
      <c r="A17"/>
      <c r="B17"/>
    </row>
    <row r="18" spans="1:2" x14ac:dyDescent="0.2">
      <c r="A18"/>
      <c r="B18"/>
    </row>
    <row r="19" spans="1:2" x14ac:dyDescent="0.2">
      <c r="A19"/>
      <c r="B19"/>
    </row>
    <row r="20" spans="1:2" x14ac:dyDescent="0.2">
      <c r="A20"/>
      <c r="B20"/>
    </row>
    <row r="21" spans="1:2" x14ac:dyDescent="0.2">
      <c r="A21"/>
      <c r="B21"/>
    </row>
    <row r="22" spans="1:2" x14ac:dyDescent="0.2">
      <c r="A22"/>
      <c r="B22"/>
    </row>
    <row r="23" spans="1:2" x14ac:dyDescent="0.2">
      <c r="A23"/>
      <c r="B23"/>
    </row>
    <row r="24" spans="1:2" x14ac:dyDescent="0.2">
      <c r="A24"/>
      <c r="B24"/>
    </row>
    <row r="25" spans="1:2" x14ac:dyDescent="0.2">
      <c r="A25"/>
      <c r="B25"/>
    </row>
    <row r="26" spans="1:2" x14ac:dyDescent="0.2">
      <c r="A26"/>
      <c r="B26"/>
    </row>
    <row r="27" spans="1:2" x14ac:dyDescent="0.2">
      <c r="A27"/>
      <c r="B27"/>
    </row>
    <row r="28" spans="1:2" x14ac:dyDescent="0.2">
      <c r="A28"/>
      <c r="B28"/>
    </row>
    <row r="29" spans="1:2" x14ac:dyDescent="0.2">
      <c r="A29"/>
      <c r="B29"/>
    </row>
    <row r="30" spans="1:2" x14ac:dyDescent="0.2">
      <c r="A30"/>
      <c r="B30"/>
    </row>
    <row r="31" spans="1:2" x14ac:dyDescent="0.2">
      <c r="A31"/>
      <c r="B31"/>
    </row>
    <row r="32" spans="1:2" x14ac:dyDescent="0.2">
      <c r="A32"/>
      <c r="B32"/>
    </row>
    <row r="33" spans="1:2" x14ac:dyDescent="0.2">
      <c r="A33"/>
      <c r="B33"/>
    </row>
    <row r="34" spans="1:2" x14ac:dyDescent="0.2">
      <c r="A34"/>
      <c r="B34"/>
    </row>
    <row r="35" spans="1:2" x14ac:dyDescent="0.2">
      <c r="A35"/>
      <c r="B35"/>
    </row>
    <row r="36" spans="1:2" x14ac:dyDescent="0.2">
      <c r="A36"/>
      <c r="B36"/>
    </row>
    <row r="37" spans="1:2" x14ac:dyDescent="0.2">
      <c r="A37"/>
      <c r="B37"/>
    </row>
    <row r="38" spans="1:2" x14ac:dyDescent="0.2">
      <c r="A38"/>
      <c r="B38"/>
    </row>
    <row r="39" spans="1:2" x14ac:dyDescent="0.2">
      <c r="A39"/>
      <c r="B39"/>
    </row>
    <row r="40" spans="1:2" x14ac:dyDescent="0.2">
      <c r="A40"/>
      <c r="B40"/>
    </row>
    <row r="41" spans="1:2" x14ac:dyDescent="0.2">
      <c r="A41"/>
      <c r="B41"/>
    </row>
    <row r="42" spans="1:2" x14ac:dyDescent="0.2">
      <c r="A42"/>
      <c r="B42"/>
    </row>
    <row r="43" spans="1:2" x14ac:dyDescent="0.2">
      <c r="A43"/>
      <c r="B43"/>
    </row>
    <row r="44" spans="1:2" x14ac:dyDescent="0.2">
      <c r="A44"/>
      <c r="B44"/>
    </row>
    <row r="45" spans="1:2" x14ac:dyDescent="0.2">
      <c r="A45"/>
      <c r="B45"/>
    </row>
    <row r="46" spans="1:2" x14ac:dyDescent="0.2">
      <c r="A46"/>
      <c r="B46"/>
    </row>
    <row r="47" spans="1:2" x14ac:dyDescent="0.2">
      <c r="A47"/>
      <c r="B47"/>
    </row>
    <row r="48" spans="1:2" x14ac:dyDescent="0.2">
      <c r="A48"/>
      <c r="B48"/>
    </row>
    <row r="49" spans="1:2" x14ac:dyDescent="0.2">
      <c r="A49"/>
      <c r="B49"/>
    </row>
    <row r="50" spans="1:2" x14ac:dyDescent="0.2">
      <c r="A50"/>
      <c r="B50"/>
    </row>
    <row r="51" spans="1:2" x14ac:dyDescent="0.2">
      <c r="A51"/>
      <c r="B51"/>
    </row>
    <row r="52" spans="1:2" x14ac:dyDescent="0.2">
      <c r="A52"/>
      <c r="B52"/>
    </row>
    <row r="53" spans="1:2" x14ac:dyDescent="0.2">
      <c r="A53"/>
      <c r="B53"/>
    </row>
    <row r="54" spans="1:2" x14ac:dyDescent="0.2">
      <c r="A54"/>
      <c r="B54"/>
    </row>
    <row r="55" spans="1:2" x14ac:dyDescent="0.2">
      <c r="A55"/>
      <c r="B55"/>
    </row>
    <row r="56" spans="1:2" x14ac:dyDescent="0.2">
      <c r="A56"/>
      <c r="B56"/>
    </row>
    <row r="57" spans="1:2" x14ac:dyDescent="0.2">
      <c r="A57"/>
      <c r="B57"/>
    </row>
    <row r="58" spans="1:2" x14ac:dyDescent="0.2">
      <c r="A58"/>
      <c r="B58"/>
    </row>
    <row r="59" spans="1:2" x14ac:dyDescent="0.2">
      <c r="A59"/>
      <c r="B59"/>
    </row>
    <row r="60" spans="1:2" x14ac:dyDescent="0.2">
      <c r="A60"/>
      <c r="B60"/>
    </row>
    <row r="61" spans="1:2" x14ac:dyDescent="0.2">
      <c r="A61"/>
      <c r="B61"/>
    </row>
    <row r="62" spans="1:2" x14ac:dyDescent="0.2">
      <c r="A62"/>
      <c r="B6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E22CD-C6D9-4819-96E2-BD4514FA842E}">
  <dimension ref="A1:B62"/>
  <sheetViews>
    <sheetView workbookViewId="0">
      <selection activeCell="B24" sqref="B24"/>
    </sheetView>
  </sheetViews>
  <sheetFormatPr baseColWidth="10" defaultColWidth="9.1640625" defaultRowHeight="15" x14ac:dyDescent="0.2"/>
  <cols>
    <col min="1" max="1" width="15.33203125" style="3" bestFit="1" customWidth="1"/>
    <col min="2" max="2" width="21.1640625" style="3" bestFit="1" customWidth="1"/>
    <col min="3" max="3" width="9" style="3" bestFit="1" customWidth="1"/>
    <col min="4" max="4" width="12" style="3" bestFit="1" customWidth="1"/>
    <col min="5" max="7" width="9" style="3" bestFit="1" customWidth="1"/>
    <col min="8" max="9" width="12" style="3" bestFit="1" customWidth="1"/>
    <col min="10" max="16384" width="9.1640625" style="3"/>
  </cols>
  <sheetData>
    <row r="1" spans="1:2" x14ac:dyDescent="0.2">
      <c r="A1" s="10" t="s">
        <v>8</v>
      </c>
      <c r="B1" s="6" t="s">
        <v>107</v>
      </c>
    </row>
    <row r="3" spans="1:2" x14ac:dyDescent="0.2">
      <c r="A3" s="10" t="s">
        <v>104</v>
      </c>
      <c r="B3" s="6" t="s">
        <v>105</v>
      </c>
    </row>
    <row r="4" spans="1:2" x14ac:dyDescent="0.2">
      <c r="A4" s="11" t="s">
        <v>56</v>
      </c>
      <c r="B4" s="6">
        <v>184000.93437528092</v>
      </c>
    </row>
    <row r="5" spans="1:2" x14ac:dyDescent="0.2">
      <c r="A5" s="11" t="s">
        <v>20</v>
      </c>
      <c r="B5" s="6">
        <v>890991.8870000001</v>
      </c>
    </row>
    <row r="6" spans="1:2" x14ac:dyDescent="0.2">
      <c r="A6" s="11" t="s">
        <v>106</v>
      </c>
      <c r="B6" s="6">
        <v>1074992.8213752811</v>
      </c>
    </row>
    <row r="7" spans="1:2" x14ac:dyDescent="0.2">
      <c r="A7"/>
      <c r="B7"/>
    </row>
    <row r="8" spans="1:2" x14ac:dyDescent="0.2">
      <c r="A8"/>
      <c r="B8"/>
    </row>
    <row r="9" spans="1:2" x14ac:dyDescent="0.2">
      <c r="A9"/>
      <c r="B9"/>
    </row>
    <row r="10" spans="1:2" x14ac:dyDescent="0.2">
      <c r="A10"/>
      <c r="B10"/>
    </row>
    <row r="11" spans="1:2" x14ac:dyDescent="0.2">
      <c r="A11"/>
      <c r="B11"/>
    </row>
    <row r="12" spans="1:2" x14ac:dyDescent="0.2">
      <c r="A12"/>
      <c r="B12"/>
    </row>
    <row r="13" spans="1:2" x14ac:dyDescent="0.2">
      <c r="A13"/>
      <c r="B13"/>
    </row>
    <row r="14" spans="1:2" x14ac:dyDescent="0.2">
      <c r="A14"/>
      <c r="B14"/>
    </row>
    <row r="15" spans="1:2" x14ac:dyDescent="0.2">
      <c r="A15"/>
      <c r="B15"/>
    </row>
    <row r="16" spans="1:2" x14ac:dyDescent="0.2">
      <c r="A16"/>
      <c r="B16"/>
    </row>
    <row r="17" spans="1:2" x14ac:dyDescent="0.2">
      <c r="A17"/>
      <c r="B17"/>
    </row>
    <row r="18" spans="1:2" x14ac:dyDescent="0.2">
      <c r="A18"/>
      <c r="B18"/>
    </row>
    <row r="19" spans="1:2" x14ac:dyDescent="0.2">
      <c r="A19"/>
      <c r="B19"/>
    </row>
    <row r="20" spans="1:2" x14ac:dyDescent="0.2">
      <c r="A20"/>
      <c r="B20"/>
    </row>
    <row r="21" spans="1:2" x14ac:dyDescent="0.2">
      <c r="A21"/>
      <c r="B21"/>
    </row>
    <row r="22" spans="1:2" x14ac:dyDescent="0.2">
      <c r="A22"/>
      <c r="B22"/>
    </row>
    <row r="23" spans="1:2" x14ac:dyDescent="0.2">
      <c r="A23"/>
      <c r="B23"/>
    </row>
    <row r="24" spans="1:2" x14ac:dyDescent="0.2">
      <c r="A24"/>
      <c r="B24"/>
    </row>
    <row r="25" spans="1:2" x14ac:dyDescent="0.2">
      <c r="A25"/>
      <c r="B25"/>
    </row>
    <row r="26" spans="1:2" x14ac:dyDescent="0.2">
      <c r="A26"/>
      <c r="B26"/>
    </row>
    <row r="27" spans="1:2" x14ac:dyDescent="0.2">
      <c r="A27"/>
      <c r="B27"/>
    </row>
    <row r="28" spans="1:2" x14ac:dyDescent="0.2">
      <c r="A28"/>
      <c r="B28"/>
    </row>
    <row r="29" spans="1:2" x14ac:dyDescent="0.2">
      <c r="A29"/>
      <c r="B29"/>
    </row>
    <row r="30" spans="1:2" x14ac:dyDescent="0.2">
      <c r="A30"/>
      <c r="B30"/>
    </row>
    <row r="31" spans="1:2" x14ac:dyDescent="0.2">
      <c r="A31"/>
      <c r="B31"/>
    </row>
    <row r="32" spans="1:2" x14ac:dyDescent="0.2">
      <c r="A32"/>
      <c r="B32"/>
    </row>
    <row r="33" spans="1:2" x14ac:dyDescent="0.2">
      <c r="A33"/>
      <c r="B33"/>
    </row>
    <row r="34" spans="1:2" x14ac:dyDescent="0.2">
      <c r="A34"/>
      <c r="B34"/>
    </row>
    <row r="35" spans="1:2" x14ac:dyDescent="0.2">
      <c r="A35"/>
      <c r="B35"/>
    </row>
    <row r="36" spans="1:2" x14ac:dyDescent="0.2">
      <c r="A36"/>
      <c r="B36"/>
    </row>
    <row r="37" spans="1:2" x14ac:dyDescent="0.2">
      <c r="A37"/>
      <c r="B37"/>
    </row>
    <row r="38" spans="1:2" x14ac:dyDescent="0.2">
      <c r="A38"/>
      <c r="B38"/>
    </row>
    <row r="39" spans="1:2" x14ac:dyDescent="0.2">
      <c r="A39"/>
      <c r="B39"/>
    </row>
    <row r="40" spans="1:2" x14ac:dyDescent="0.2">
      <c r="A40"/>
      <c r="B40"/>
    </row>
    <row r="41" spans="1:2" x14ac:dyDescent="0.2">
      <c r="A41"/>
      <c r="B41"/>
    </row>
    <row r="42" spans="1:2" x14ac:dyDescent="0.2">
      <c r="A42"/>
      <c r="B42"/>
    </row>
    <row r="43" spans="1:2" x14ac:dyDescent="0.2">
      <c r="A43"/>
      <c r="B43"/>
    </row>
    <row r="44" spans="1:2" x14ac:dyDescent="0.2">
      <c r="A44"/>
      <c r="B44"/>
    </row>
    <row r="45" spans="1:2" x14ac:dyDescent="0.2">
      <c r="A45"/>
      <c r="B45"/>
    </row>
    <row r="46" spans="1:2" x14ac:dyDescent="0.2">
      <c r="A46"/>
      <c r="B46"/>
    </row>
    <row r="47" spans="1:2" x14ac:dyDescent="0.2">
      <c r="A47"/>
      <c r="B47"/>
    </row>
    <row r="48" spans="1:2" x14ac:dyDescent="0.2">
      <c r="A48"/>
      <c r="B48"/>
    </row>
    <row r="49" spans="1:2" x14ac:dyDescent="0.2">
      <c r="A49"/>
      <c r="B49"/>
    </row>
    <row r="50" spans="1:2" x14ac:dyDescent="0.2">
      <c r="A50"/>
      <c r="B50"/>
    </row>
    <row r="51" spans="1:2" x14ac:dyDescent="0.2">
      <c r="A51"/>
      <c r="B51"/>
    </row>
    <row r="52" spans="1:2" x14ac:dyDescent="0.2">
      <c r="A52"/>
      <c r="B52"/>
    </row>
    <row r="53" spans="1:2" x14ac:dyDescent="0.2">
      <c r="A53"/>
      <c r="B53"/>
    </row>
    <row r="54" spans="1:2" x14ac:dyDescent="0.2">
      <c r="A54"/>
      <c r="B54"/>
    </row>
    <row r="55" spans="1:2" x14ac:dyDescent="0.2">
      <c r="A55"/>
      <c r="B55"/>
    </row>
    <row r="56" spans="1:2" x14ac:dyDescent="0.2">
      <c r="A56"/>
      <c r="B56"/>
    </row>
    <row r="57" spans="1:2" x14ac:dyDescent="0.2">
      <c r="A57"/>
      <c r="B57"/>
    </row>
    <row r="58" spans="1:2" x14ac:dyDescent="0.2">
      <c r="A58"/>
      <c r="B58"/>
    </row>
    <row r="59" spans="1:2" x14ac:dyDescent="0.2">
      <c r="A59"/>
      <c r="B59"/>
    </row>
    <row r="60" spans="1:2" x14ac:dyDescent="0.2">
      <c r="A60"/>
      <c r="B60"/>
    </row>
    <row r="61" spans="1:2" x14ac:dyDescent="0.2">
      <c r="A61"/>
      <c r="B61"/>
    </row>
    <row r="62" spans="1:2" x14ac:dyDescent="0.2">
      <c r="A62"/>
      <c r="B62"/>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0A75B-6422-4520-9E7C-37C0D7F8C45D}">
  <dimension ref="A1:B62"/>
  <sheetViews>
    <sheetView workbookViewId="0">
      <selection activeCell="A22" sqref="A22"/>
    </sheetView>
  </sheetViews>
  <sheetFormatPr baseColWidth="10" defaultColWidth="9.1640625" defaultRowHeight="15" x14ac:dyDescent="0.2"/>
  <cols>
    <col min="1" max="1" width="15.33203125" style="3" bestFit="1" customWidth="1"/>
    <col min="2" max="2" width="21.1640625" style="3" bestFit="1" customWidth="1"/>
    <col min="3" max="3" width="9" style="3" bestFit="1" customWidth="1"/>
    <col min="4" max="4" width="12" style="3" bestFit="1" customWidth="1"/>
    <col min="5" max="7" width="9" style="3" bestFit="1" customWidth="1"/>
    <col min="8" max="9" width="12" style="3" bestFit="1" customWidth="1"/>
    <col min="10" max="16384" width="9.1640625" style="3"/>
  </cols>
  <sheetData>
    <row r="1" spans="1:2" x14ac:dyDescent="0.2">
      <c r="A1" s="10" t="s">
        <v>8</v>
      </c>
      <c r="B1" s="6" t="s">
        <v>107</v>
      </c>
    </row>
    <row r="3" spans="1:2" x14ac:dyDescent="0.2">
      <c r="A3" s="10" t="s">
        <v>104</v>
      </c>
      <c r="B3" s="6" t="s">
        <v>105</v>
      </c>
    </row>
    <row r="4" spans="1:2" x14ac:dyDescent="0.2">
      <c r="A4" s="11" t="s">
        <v>51</v>
      </c>
      <c r="B4" s="6">
        <v>43829.014999999999</v>
      </c>
    </row>
    <row r="5" spans="1:2" x14ac:dyDescent="0.2">
      <c r="A5" s="11" t="s">
        <v>22</v>
      </c>
      <c r="B5" s="6">
        <v>461644.61437528091</v>
      </c>
    </row>
    <row r="6" spans="1:2" x14ac:dyDescent="0.2">
      <c r="A6" s="11" t="s">
        <v>29</v>
      </c>
      <c r="B6" s="6">
        <v>569519.19200000004</v>
      </c>
    </row>
    <row r="7" spans="1:2" x14ac:dyDescent="0.2">
      <c r="A7" s="11" t="s">
        <v>106</v>
      </c>
      <c r="B7" s="6">
        <v>1074992.8213752811</v>
      </c>
    </row>
    <row r="8" spans="1:2" x14ac:dyDescent="0.2">
      <c r="A8"/>
      <c r="B8"/>
    </row>
    <row r="9" spans="1:2" x14ac:dyDescent="0.2">
      <c r="A9"/>
      <c r="B9"/>
    </row>
    <row r="10" spans="1:2" x14ac:dyDescent="0.2">
      <c r="A10"/>
      <c r="B10"/>
    </row>
    <row r="11" spans="1:2" x14ac:dyDescent="0.2">
      <c r="A11"/>
      <c r="B11"/>
    </row>
    <row r="12" spans="1:2" x14ac:dyDescent="0.2">
      <c r="A12"/>
      <c r="B12"/>
    </row>
    <row r="13" spans="1:2" x14ac:dyDescent="0.2">
      <c r="A13"/>
      <c r="B13"/>
    </row>
    <row r="14" spans="1:2" x14ac:dyDescent="0.2">
      <c r="A14"/>
      <c r="B14"/>
    </row>
    <row r="15" spans="1:2" x14ac:dyDescent="0.2">
      <c r="A15"/>
      <c r="B15"/>
    </row>
    <row r="16" spans="1:2" x14ac:dyDescent="0.2">
      <c r="A16"/>
      <c r="B16"/>
    </row>
    <row r="17" spans="1:2" x14ac:dyDescent="0.2">
      <c r="A17"/>
      <c r="B17"/>
    </row>
    <row r="18" spans="1:2" x14ac:dyDescent="0.2">
      <c r="A18"/>
      <c r="B18"/>
    </row>
    <row r="19" spans="1:2" x14ac:dyDescent="0.2">
      <c r="A19"/>
      <c r="B19"/>
    </row>
    <row r="20" spans="1:2" x14ac:dyDescent="0.2">
      <c r="A20"/>
      <c r="B20"/>
    </row>
    <row r="21" spans="1:2" x14ac:dyDescent="0.2">
      <c r="A21"/>
      <c r="B21"/>
    </row>
    <row r="22" spans="1:2" x14ac:dyDescent="0.2">
      <c r="A22"/>
      <c r="B22"/>
    </row>
    <row r="23" spans="1:2" x14ac:dyDescent="0.2">
      <c r="A23"/>
      <c r="B23"/>
    </row>
    <row r="24" spans="1:2" x14ac:dyDescent="0.2">
      <c r="A24"/>
      <c r="B24"/>
    </row>
    <row r="25" spans="1:2" x14ac:dyDescent="0.2">
      <c r="A25"/>
      <c r="B25"/>
    </row>
    <row r="26" spans="1:2" x14ac:dyDescent="0.2">
      <c r="A26"/>
      <c r="B26"/>
    </row>
    <row r="27" spans="1:2" x14ac:dyDescent="0.2">
      <c r="A27"/>
      <c r="B27"/>
    </row>
    <row r="28" spans="1:2" x14ac:dyDescent="0.2">
      <c r="A28"/>
      <c r="B28"/>
    </row>
    <row r="29" spans="1:2" x14ac:dyDescent="0.2">
      <c r="A29"/>
      <c r="B29"/>
    </row>
    <row r="30" spans="1:2" x14ac:dyDescent="0.2">
      <c r="A30"/>
      <c r="B30"/>
    </row>
    <row r="31" spans="1:2" x14ac:dyDescent="0.2">
      <c r="A31"/>
      <c r="B31"/>
    </row>
    <row r="32" spans="1:2" x14ac:dyDescent="0.2">
      <c r="A32"/>
      <c r="B32"/>
    </row>
    <row r="33" spans="1:2" x14ac:dyDescent="0.2">
      <c r="A33"/>
      <c r="B33"/>
    </row>
    <row r="34" spans="1:2" x14ac:dyDescent="0.2">
      <c r="A34"/>
      <c r="B34"/>
    </row>
    <row r="35" spans="1:2" x14ac:dyDescent="0.2">
      <c r="A35"/>
      <c r="B35"/>
    </row>
    <row r="36" spans="1:2" x14ac:dyDescent="0.2">
      <c r="A36"/>
      <c r="B36"/>
    </row>
    <row r="37" spans="1:2" x14ac:dyDescent="0.2">
      <c r="A37"/>
      <c r="B37"/>
    </row>
    <row r="38" spans="1:2" x14ac:dyDescent="0.2">
      <c r="A38"/>
      <c r="B38"/>
    </row>
    <row r="39" spans="1:2" x14ac:dyDescent="0.2">
      <c r="A39"/>
      <c r="B39"/>
    </row>
    <row r="40" spans="1:2" x14ac:dyDescent="0.2">
      <c r="A40"/>
      <c r="B40"/>
    </row>
    <row r="41" spans="1:2" x14ac:dyDescent="0.2">
      <c r="A41"/>
      <c r="B41"/>
    </row>
    <row r="42" spans="1:2" x14ac:dyDescent="0.2">
      <c r="A42"/>
      <c r="B42"/>
    </row>
    <row r="43" spans="1:2" x14ac:dyDescent="0.2">
      <c r="A43"/>
      <c r="B43"/>
    </row>
    <row r="44" spans="1:2" x14ac:dyDescent="0.2">
      <c r="A44"/>
      <c r="B44"/>
    </row>
    <row r="45" spans="1:2" x14ac:dyDescent="0.2">
      <c r="A45"/>
      <c r="B45"/>
    </row>
    <row r="46" spans="1:2" x14ac:dyDescent="0.2">
      <c r="A46"/>
      <c r="B46"/>
    </row>
    <row r="47" spans="1:2" x14ac:dyDescent="0.2">
      <c r="A47"/>
      <c r="B47"/>
    </row>
    <row r="48" spans="1:2" x14ac:dyDescent="0.2">
      <c r="A48"/>
      <c r="B48"/>
    </row>
    <row r="49" spans="1:2" x14ac:dyDescent="0.2">
      <c r="A49"/>
      <c r="B49"/>
    </row>
    <row r="50" spans="1:2" x14ac:dyDescent="0.2">
      <c r="A50"/>
      <c r="B50"/>
    </row>
    <row r="51" spans="1:2" x14ac:dyDescent="0.2">
      <c r="A51"/>
      <c r="B51"/>
    </row>
    <row r="52" spans="1:2" x14ac:dyDescent="0.2">
      <c r="A52"/>
      <c r="B52"/>
    </row>
    <row r="53" spans="1:2" x14ac:dyDescent="0.2">
      <c r="A53"/>
      <c r="B53"/>
    </row>
    <row r="54" spans="1:2" x14ac:dyDescent="0.2">
      <c r="A54"/>
      <c r="B54"/>
    </row>
    <row r="55" spans="1:2" x14ac:dyDescent="0.2">
      <c r="A55"/>
      <c r="B55"/>
    </row>
    <row r="56" spans="1:2" x14ac:dyDescent="0.2">
      <c r="A56"/>
      <c r="B56"/>
    </row>
    <row r="57" spans="1:2" x14ac:dyDescent="0.2">
      <c r="A57"/>
      <c r="B57"/>
    </row>
    <row r="58" spans="1:2" x14ac:dyDescent="0.2">
      <c r="A58"/>
      <c r="B58"/>
    </row>
    <row r="59" spans="1:2" x14ac:dyDescent="0.2">
      <c r="A59"/>
      <c r="B59"/>
    </row>
    <row r="60" spans="1:2" x14ac:dyDescent="0.2">
      <c r="A60"/>
      <c r="B60"/>
    </row>
    <row r="61" spans="1:2" x14ac:dyDescent="0.2">
      <c r="A61"/>
      <c r="B61"/>
    </row>
    <row r="62" spans="1:2" x14ac:dyDescent="0.2">
      <c r="A62"/>
      <c r="B62"/>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AC6A4-5F50-41AE-A11E-7C0AFB051810}">
  <dimension ref="A3:B22"/>
  <sheetViews>
    <sheetView workbookViewId="0">
      <selection activeCell="B4" sqref="B4"/>
    </sheetView>
  </sheetViews>
  <sheetFormatPr baseColWidth="10" defaultColWidth="9.1640625" defaultRowHeight="15" x14ac:dyDescent="0.2"/>
  <cols>
    <col min="1" max="1" width="15.33203125" style="3" bestFit="1" customWidth="1"/>
    <col min="2" max="2" width="21.1640625" style="3" bestFit="1" customWidth="1"/>
    <col min="3" max="3" width="9" style="3" bestFit="1" customWidth="1"/>
    <col min="4" max="4" width="12" style="3" bestFit="1" customWidth="1"/>
    <col min="5" max="7" width="9" style="3" bestFit="1" customWidth="1"/>
    <col min="8" max="9" width="12" style="3" bestFit="1" customWidth="1"/>
    <col min="10" max="16384" width="9.1640625" style="3"/>
  </cols>
  <sheetData>
    <row r="3" spans="1:2" x14ac:dyDescent="0.2">
      <c r="A3" s="10" t="s">
        <v>104</v>
      </c>
      <c r="B3" s="6" t="s">
        <v>105</v>
      </c>
    </row>
    <row r="4" spans="1:2" x14ac:dyDescent="0.2">
      <c r="A4" s="11" t="s">
        <v>52</v>
      </c>
      <c r="B4" s="6">
        <v>74210.92</v>
      </c>
    </row>
    <row r="5" spans="1:2" x14ac:dyDescent="0.2">
      <c r="A5" s="11" t="s">
        <v>41</v>
      </c>
      <c r="B5" s="6">
        <v>90660.020086849501</v>
      </c>
    </row>
    <row r="6" spans="1:2" x14ac:dyDescent="0.2">
      <c r="A6" s="11" t="s">
        <v>24</v>
      </c>
      <c r="B6" s="6">
        <v>910121.88128843135</v>
      </c>
    </row>
    <row r="7" spans="1:2" x14ac:dyDescent="0.2">
      <c r="A7" s="11" t="s">
        <v>106</v>
      </c>
      <c r="B7" s="6">
        <v>1074992.8213752809</v>
      </c>
    </row>
    <row r="8" spans="1:2" x14ac:dyDescent="0.2">
      <c r="A8"/>
      <c r="B8"/>
    </row>
    <row r="9" spans="1:2" x14ac:dyDescent="0.2">
      <c r="A9"/>
      <c r="B9"/>
    </row>
    <row r="10" spans="1:2" x14ac:dyDescent="0.2">
      <c r="A10"/>
    </row>
    <row r="11" spans="1:2" x14ac:dyDescent="0.2">
      <c r="A11"/>
      <c r="B11"/>
    </row>
    <row r="12" spans="1:2" x14ac:dyDescent="0.2">
      <c r="A12"/>
      <c r="B12"/>
    </row>
    <row r="13" spans="1:2" x14ac:dyDescent="0.2">
      <c r="A13"/>
      <c r="B13"/>
    </row>
    <row r="14" spans="1:2" x14ac:dyDescent="0.2">
      <c r="A14"/>
      <c r="B14"/>
    </row>
    <row r="15" spans="1:2" x14ac:dyDescent="0.2">
      <c r="A15"/>
      <c r="B15"/>
    </row>
    <row r="16" spans="1:2" x14ac:dyDescent="0.2">
      <c r="A16"/>
      <c r="B16"/>
    </row>
    <row r="17" spans="1:2" x14ac:dyDescent="0.2">
      <c r="A17"/>
      <c r="B17"/>
    </row>
    <row r="18" spans="1:2" x14ac:dyDescent="0.2">
      <c r="A18"/>
      <c r="B18"/>
    </row>
    <row r="19" spans="1:2" x14ac:dyDescent="0.2">
      <c r="A19"/>
      <c r="B19"/>
    </row>
    <row r="20" spans="1:2" x14ac:dyDescent="0.2">
      <c r="A20"/>
      <c r="B20"/>
    </row>
    <row r="21" spans="1:2" x14ac:dyDescent="0.2">
      <c r="A21"/>
      <c r="B21"/>
    </row>
    <row r="22" spans="1:2" x14ac:dyDescent="0.2">
      <c r="A22"/>
      <c r="B22"/>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55EBB-D384-4FB6-9D85-2C8D5065674B}">
  <dimension ref="A1:N62"/>
  <sheetViews>
    <sheetView zoomScale="85" zoomScaleNormal="85" workbookViewId="0">
      <selection activeCell="A25" sqref="A25"/>
    </sheetView>
  </sheetViews>
  <sheetFormatPr baseColWidth="10" defaultColWidth="9.1640625" defaultRowHeight="15" x14ac:dyDescent="0.2"/>
  <cols>
    <col min="1" max="1" width="53.5" style="3" bestFit="1" customWidth="1"/>
    <col min="2" max="2" width="21.1640625" style="3" bestFit="1" customWidth="1"/>
    <col min="3" max="3" width="11" style="3" bestFit="1" customWidth="1"/>
    <col min="4" max="4" width="22.5" style="3" bestFit="1" customWidth="1"/>
    <col min="5" max="5" width="8" style="3" bestFit="1" customWidth="1"/>
    <col min="6" max="12" width="9.5" style="3" bestFit="1" customWidth="1"/>
    <col min="13" max="13" width="10.5" style="3" bestFit="1" customWidth="1"/>
    <col min="14" max="14" width="12.6640625" style="3" bestFit="1" customWidth="1"/>
    <col min="15" max="16384" width="9.1640625" style="3"/>
  </cols>
  <sheetData>
    <row r="1" spans="1:14" x14ac:dyDescent="0.2">
      <c r="A1" s="10" t="s">
        <v>12</v>
      </c>
      <c r="B1" s="6" t="s">
        <v>27</v>
      </c>
    </row>
    <row r="2" spans="1:14" x14ac:dyDescent="0.2">
      <c r="A2" s="10" t="s">
        <v>8</v>
      </c>
      <c r="B2" s="6" t="s">
        <v>41</v>
      </c>
    </row>
    <row r="3" spans="1:14" x14ac:dyDescent="0.2">
      <c r="A3"/>
      <c r="B3"/>
      <c r="C3"/>
      <c r="D3"/>
      <c r="E3"/>
      <c r="F3"/>
      <c r="G3"/>
      <c r="H3"/>
      <c r="I3"/>
      <c r="J3"/>
      <c r="K3"/>
      <c r="L3"/>
      <c r="M3"/>
      <c r="N3"/>
    </row>
    <row r="4" spans="1:14" x14ac:dyDescent="0.2">
      <c r="A4" s="10" t="s">
        <v>104</v>
      </c>
      <c r="B4" s="6" t="s">
        <v>105</v>
      </c>
      <c r="C4" s="6" t="s">
        <v>108</v>
      </c>
      <c r="D4"/>
      <c r="E4"/>
      <c r="F4"/>
      <c r="G4"/>
      <c r="H4"/>
      <c r="I4"/>
      <c r="J4"/>
      <c r="K4"/>
      <c r="L4"/>
      <c r="M4"/>
      <c r="N4"/>
    </row>
    <row r="5" spans="1:14" x14ac:dyDescent="0.2">
      <c r="A5" s="11" t="s">
        <v>109</v>
      </c>
      <c r="B5" s="7">
        <v>1.599631441503331E-6</v>
      </c>
      <c r="C5" s="8">
        <v>0</v>
      </c>
      <c r="D5"/>
      <c r="E5"/>
      <c r="F5"/>
      <c r="G5"/>
      <c r="H5"/>
      <c r="I5"/>
      <c r="J5"/>
      <c r="K5"/>
      <c r="L5"/>
      <c r="M5"/>
      <c r="N5"/>
    </row>
    <row r="6" spans="1:14" x14ac:dyDescent="0.2">
      <c r="A6" s="11" t="s">
        <v>110</v>
      </c>
      <c r="B6" s="7">
        <v>1.0984135898322873E-3</v>
      </c>
      <c r="C6" s="8">
        <v>0</v>
      </c>
      <c r="D6"/>
      <c r="E6"/>
      <c r="F6"/>
      <c r="G6"/>
      <c r="H6"/>
      <c r="I6"/>
      <c r="J6"/>
      <c r="K6"/>
      <c r="L6"/>
      <c r="M6"/>
      <c r="N6"/>
    </row>
    <row r="7" spans="1:14" x14ac:dyDescent="0.2">
      <c r="A7" s="11" t="s">
        <v>111</v>
      </c>
      <c r="B7" s="7">
        <v>8.5846887360678768E-3</v>
      </c>
      <c r="C7" s="8">
        <v>0</v>
      </c>
      <c r="D7"/>
      <c r="E7"/>
      <c r="F7"/>
      <c r="G7"/>
      <c r="H7"/>
      <c r="I7"/>
      <c r="J7"/>
      <c r="K7"/>
      <c r="L7"/>
      <c r="M7"/>
      <c r="N7"/>
    </row>
    <row r="8" spans="1:14" x14ac:dyDescent="0.2">
      <c r="A8" s="11" t="s">
        <v>112</v>
      </c>
      <c r="B8" s="7">
        <v>1.1325390605843583E-2</v>
      </c>
      <c r="C8" s="8">
        <v>0</v>
      </c>
      <c r="D8"/>
      <c r="E8"/>
      <c r="F8"/>
      <c r="G8"/>
      <c r="H8"/>
      <c r="I8"/>
      <c r="J8"/>
      <c r="K8"/>
      <c r="L8"/>
      <c r="M8"/>
      <c r="N8"/>
    </row>
    <row r="9" spans="1:14" x14ac:dyDescent="0.2">
      <c r="A9" s="11" t="s">
        <v>113</v>
      </c>
      <c r="B9" s="7">
        <v>1.1500283643447949E-2</v>
      </c>
      <c r="C9" s="8">
        <v>11.79</v>
      </c>
      <c r="D9"/>
      <c r="E9"/>
      <c r="F9"/>
      <c r="G9"/>
      <c r="H9"/>
      <c r="I9"/>
      <c r="J9"/>
      <c r="K9"/>
      <c r="L9"/>
      <c r="M9"/>
      <c r="N9"/>
    </row>
    <row r="10" spans="1:14" x14ac:dyDescent="0.2">
      <c r="A10" s="11" t="s">
        <v>114</v>
      </c>
      <c r="B10" s="7">
        <v>1.2797051532026649E-2</v>
      </c>
      <c r="C10" s="8">
        <v>0</v>
      </c>
      <c r="D10"/>
      <c r="E10"/>
      <c r="F10"/>
      <c r="G10"/>
      <c r="H10"/>
      <c r="I10"/>
      <c r="J10"/>
      <c r="K10"/>
      <c r="L10"/>
      <c r="M10"/>
      <c r="N10"/>
    </row>
    <row r="11" spans="1:14" x14ac:dyDescent="0.2">
      <c r="A11" s="11" t="s">
        <v>115</v>
      </c>
      <c r="B11" s="7">
        <v>1.5348463681224462E-2</v>
      </c>
      <c r="C11" s="8">
        <v>11.15</v>
      </c>
      <c r="D11"/>
      <c r="E11"/>
      <c r="F11"/>
      <c r="G11"/>
      <c r="H11"/>
      <c r="I11"/>
      <c r="J11"/>
      <c r="K11"/>
      <c r="L11"/>
      <c r="M11"/>
      <c r="N11"/>
    </row>
    <row r="12" spans="1:14" x14ac:dyDescent="0.2">
      <c r="A12" s="11" t="s">
        <v>116</v>
      </c>
      <c r="B12" s="7">
        <v>2.7254520500333758E-2</v>
      </c>
      <c r="C12" s="8">
        <v>0</v>
      </c>
      <c r="D12"/>
      <c r="E12"/>
      <c r="F12"/>
      <c r="G12"/>
      <c r="H12"/>
      <c r="I12"/>
      <c r="J12"/>
      <c r="K12"/>
      <c r="L12"/>
      <c r="M12"/>
      <c r="N12"/>
    </row>
    <row r="13" spans="1:14" x14ac:dyDescent="0.2">
      <c r="A13" s="11" t="s">
        <v>117</v>
      </c>
      <c r="B13" s="7">
        <v>4.2453152036537406E-2</v>
      </c>
      <c r="C13" s="8">
        <v>11.82</v>
      </c>
      <c r="D13"/>
      <c r="E13"/>
      <c r="F13"/>
      <c r="G13"/>
      <c r="H13"/>
      <c r="I13"/>
      <c r="J13"/>
      <c r="K13"/>
      <c r="L13"/>
      <c r="M13"/>
      <c r="N13"/>
    </row>
    <row r="14" spans="1:14" x14ac:dyDescent="0.2">
      <c r="A14" s="11" t="s">
        <v>118</v>
      </c>
      <c r="B14" s="7">
        <v>6.2266323572880679E-2</v>
      </c>
      <c r="C14" s="8">
        <v>20.350000000000001</v>
      </c>
      <c r="D14"/>
      <c r="E14"/>
      <c r="F14"/>
      <c r="G14"/>
      <c r="H14"/>
      <c r="I14"/>
      <c r="J14"/>
      <c r="K14"/>
      <c r="L14"/>
      <c r="M14"/>
      <c r="N14"/>
    </row>
    <row r="15" spans="1:14" x14ac:dyDescent="0.2">
      <c r="A15" s="11" t="s">
        <v>119</v>
      </c>
      <c r="B15" s="7">
        <v>6.2296046857905726E-2</v>
      </c>
      <c r="C15" s="8">
        <v>2.3593999999999999</v>
      </c>
      <c r="D15"/>
      <c r="E15"/>
      <c r="F15"/>
      <c r="G15"/>
      <c r="H15"/>
      <c r="I15"/>
      <c r="J15"/>
      <c r="K15"/>
      <c r="L15"/>
      <c r="M15"/>
      <c r="N15"/>
    </row>
    <row r="16" spans="1:14" x14ac:dyDescent="0.2">
      <c r="A16" s="11" t="s">
        <v>120</v>
      </c>
      <c r="B16" s="7">
        <v>7.6418525275417051E-2</v>
      </c>
      <c r="C16" s="8">
        <v>15.38</v>
      </c>
      <c r="D16"/>
      <c r="E16"/>
      <c r="F16"/>
      <c r="G16"/>
      <c r="H16"/>
      <c r="I16"/>
      <c r="J16"/>
      <c r="K16"/>
      <c r="L16"/>
      <c r="M16"/>
      <c r="N16"/>
    </row>
    <row r="17" spans="1:14" x14ac:dyDescent="0.2">
      <c r="A17" s="11" t="s">
        <v>121</v>
      </c>
      <c r="B17" s="7">
        <v>8.6008983346751097E-2</v>
      </c>
      <c r="C17" s="8">
        <v>43.525700000000001</v>
      </c>
      <c r="D17"/>
      <c r="E17"/>
      <c r="F17"/>
      <c r="G17"/>
      <c r="H17"/>
      <c r="I17"/>
      <c r="J17"/>
      <c r="K17"/>
      <c r="L17"/>
      <c r="M17"/>
      <c r="N17"/>
    </row>
    <row r="18" spans="1:14" x14ac:dyDescent="0.2">
      <c r="A18" s="11" t="s">
        <v>122</v>
      </c>
      <c r="B18" s="7">
        <v>0.10610675277779896</v>
      </c>
      <c r="C18" s="8">
        <v>33.730600000000003</v>
      </c>
      <c r="D18"/>
      <c r="E18"/>
      <c r="F18"/>
      <c r="G18"/>
      <c r="H18"/>
      <c r="I18"/>
      <c r="J18"/>
      <c r="K18"/>
      <c r="L18"/>
      <c r="M18"/>
      <c r="N18"/>
    </row>
    <row r="19" spans="1:14" x14ac:dyDescent="0.2">
      <c r="A19" s="11" t="s">
        <v>123</v>
      </c>
      <c r="B19" s="7">
        <v>0.20482640755873555</v>
      </c>
      <c r="C19" s="8">
        <v>68.298199999999994</v>
      </c>
      <c r="D19"/>
      <c r="E19"/>
      <c r="F19"/>
      <c r="G19"/>
      <c r="H19"/>
      <c r="I19"/>
      <c r="J19"/>
      <c r="K19"/>
      <c r="L19"/>
      <c r="M19"/>
      <c r="N19"/>
    </row>
    <row r="20" spans="1:14" x14ac:dyDescent="0.2">
      <c r="A20" s="11" t="s">
        <v>124</v>
      </c>
      <c r="B20" s="7">
        <v>0.27171339665375582</v>
      </c>
      <c r="C20" s="8">
        <v>99.519000000000005</v>
      </c>
      <c r="D20"/>
      <c r="E20"/>
      <c r="F20"/>
      <c r="G20"/>
      <c r="H20"/>
      <c r="I20"/>
      <c r="J20"/>
      <c r="K20"/>
      <c r="L20"/>
      <c r="M20"/>
      <c r="N20"/>
    </row>
    <row r="21" spans="1:14" x14ac:dyDescent="0.2">
      <c r="A21" s="11" t="s">
        <v>106</v>
      </c>
      <c r="B21" s="7">
        <v>1</v>
      </c>
      <c r="C21" s="6">
        <v>317.92289999999997</v>
      </c>
      <c r="D21"/>
      <c r="E21"/>
      <c r="F21"/>
      <c r="G21"/>
      <c r="H21"/>
      <c r="I21"/>
      <c r="J21"/>
      <c r="K21"/>
      <c r="L21"/>
      <c r="M21"/>
      <c r="N21"/>
    </row>
    <row r="22" spans="1:14" x14ac:dyDescent="0.2">
      <c r="A22"/>
      <c r="B22"/>
      <c r="C22"/>
      <c r="D22"/>
      <c r="E22"/>
      <c r="F22"/>
      <c r="G22"/>
      <c r="H22"/>
      <c r="I22"/>
      <c r="J22"/>
      <c r="K22"/>
      <c r="L22"/>
      <c r="M22"/>
      <c r="N22"/>
    </row>
    <row r="23" spans="1:14" x14ac:dyDescent="0.2">
      <c r="A23"/>
      <c r="B23"/>
      <c r="C23"/>
      <c r="D23"/>
      <c r="E23"/>
      <c r="F23"/>
      <c r="G23"/>
      <c r="H23"/>
      <c r="I23"/>
      <c r="J23"/>
      <c r="K23"/>
      <c r="L23"/>
      <c r="M23"/>
      <c r="N23"/>
    </row>
    <row r="24" spans="1:14" x14ac:dyDescent="0.2">
      <c r="A24"/>
      <c r="B24"/>
      <c r="C24"/>
      <c r="D24"/>
      <c r="E24"/>
      <c r="F24"/>
      <c r="G24"/>
      <c r="H24"/>
      <c r="I24"/>
      <c r="J24"/>
      <c r="K24"/>
      <c r="L24"/>
      <c r="M24"/>
      <c r="N24"/>
    </row>
    <row r="25" spans="1:14" x14ac:dyDescent="0.2">
      <c r="A25"/>
      <c r="B25"/>
      <c r="C25"/>
      <c r="D25"/>
      <c r="E25"/>
      <c r="F25"/>
      <c r="G25"/>
      <c r="H25"/>
      <c r="I25"/>
      <c r="J25"/>
      <c r="K25"/>
      <c r="L25"/>
      <c r="M25"/>
      <c r="N25"/>
    </row>
    <row r="26" spans="1:14" x14ac:dyDescent="0.2">
      <c r="A26"/>
      <c r="B26"/>
    </row>
    <row r="27" spans="1:14" x14ac:dyDescent="0.2">
      <c r="A27"/>
      <c r="B27"/>
    </row>
    <row r="28" spans="1:14" x14ac:dyDescent="0.2">
      <c r="A28"/>
      <c r="B28"/>
    </row>
    <row r="29" spans="1:14" x14ac:dyDescent="0.2">
      <c r="A29"/>
      <c r="B29"/>
    </row>
    <row r="30" spans="1:14" x14ac:dyDescent="0.2">
      <c r="A30"/>
      <c r="B30"/>
    </row>
    <row r="31" spans="1:14" x14ac:dyDescent="0.2">
      <c r="A31"/>
      <c r="B31"/>
    </row>
    <row r="32" spans="1:14" x14ac:dyDescent="0.2">
      <c r="A32"/>
      <c r="B32"/>
    </row>
    <row r="33" spans="1:2" x14ac:dyDescent="0.2">
      <c r="A33"/>
      <c r="B33"/>
    </row>
    <row r="34" spans="1:2" x14ac:dyDescent="0.2">
      <c r="A34"/>
      <c r="B34"/>
    </row>
    <row r="35" spans="1:2" x14ac:dyDescent="0.2">
      <c r="A35"/>
      <c r="B35"/>
    </row>
    <row r="36" spans="1:2" x14ac:dyDescent="0.2">
      <c r="A36"/>
      <c r="B36"/>
    </row>
    <row r="37" spans="1:2" x14ac:dyDescent="0.2">
      <c r="A37"/>
      <c r="B37"/>
    </row>
    <row r="38" spans="1:2" x14ac:dyDescent="0.2">
      <c r="A38"/>
      <c r="B38"/>
    </row>
    <row r="39" spans="1:2" x14ac:dyDescent="0.2">
      <c r="A39"/>
      <c r="B39"/>
    </row>
    <row r="40" spans="1:2" x14ac:dyDescent="0.2">
      <c r="A40"/>
      <c r="B40"/>
    </row>
    <row r="41" spans="1:2" x14ac:dyDescent="0.2">
      <c r="A41"/>
      <c r="B41"/>
    </row>
    <row r="42" spans="1:2" x14ac:dyDescent="0.2">
      <c r="A42"/>
      <c r="B42"/>
    </row>
    <row r="43" spans="1:2" x14ac:dyDescent="0.2">
      <c r="A43"/>
      <c r="B43"/>
    </row>
    <row r="44" spans="1:2" x14ac:dyDescent="0.2">
      <c r="A44"/>
      <c r="B44"/>
    </row>
    <row r="45" spans="1:2" x14ac:dyDescent="0.2">
      <c r="A45"/>
      <c r="B45"/>
    </row>
    <row r="46" spans="1:2" x14ac:dyDescent="0.2">
      <c r="A46"/>
      <c r="B46"/>
    </row>
    <row r="47" spans="1:2" x14ac:dyDescent="0.2">
      <c r="A47"/>
      <c r="B47"/>
    </row>
    <row r="48" spans="1:2" x14ac:dyDescent="0.2">
      <c r="A48"/>
      <c r="B48"/>
    </row>
    <row r="49" spans="1:2" x14ac:dyDescent="0.2">
      <c r="A49"/>
      <c r="B49"/>
    </row>
    <row r="50" spans="1:2" x14ac:dyDescent="0.2">
      <c r="A50"/>
      <c r="B50"/>
    </row>
    <row r="51" spans="1:2" x14ac:dyDescent="0.2">
      <c r="A51"/>
      <c r="B51"/>
    </row>
    <row r="52" spans="1:2" x14ac:dyDescent="0.2">
      <c r="A52"/>
      <c r="B52"/>
    </row>
    <row r="53" spans="1:2" x14ac:dyDescent="0.2">
      <c r="A53"/>
      <c r="B53"/>
    </row>
    <row r="54" spans="1:2" x14ac:dyDescent="0.2">
      <c r="A54"/>
      <c r="B54"/>
    </row>
    <row r="55" spans="1:2" x14ac:dyDescent="0.2">
      <c r="A55"/>
      <c r="B55"/>
    </row>
    <row r="56" spans="1:2" x14ac:dyDescent="0.2">
      <c r="A56"/>
      <c r="B56"/>
    </row>
    <row r="57" spans="1:2" x14ac:dyDescent="0.2">
      <c r="A57"/>
      <c r="B57"/>
    </row>
    <row r="58" spans="1:2" x14ac:dyDescent="0.2">
      <c r="A58"/>
      <c r="B58"/>
    </row>
    <row r="59" spans="1:2" x14ac:dyDescent="0.2">
      <c r="A59"/>
      <c r="B59"/>
    </row>
    <row r="60" spans="1:2" x14ac:dyDescent="0.2">
      <c r="A60"/>
      <c r="B60"/>
    </row>
    <row r="61" spans="1:2" x14ac:dyDescent="0.2">
      <c r="A61"/>
      <c r="B61"/>
    </row>
    <row r="62" spans="1:2" x14ac:dyDescent="0.2">
      <c r="A62"/>
      <c r="B62"/>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9E576-4230-4CFD-9EDB-E0F8C3A9505F}">
  <dimension ref="A1:F37"/>
  <sheetViews>
    <sheetView workbookViewId="0">
      <selection activeCell="C21" sqref="C21"/>
    </sheetView>
  </sheetViews>
  <sheetFormatPr baseColWidth="10" defaultColWidth="9.1640625" defaultRowHeight="15" x14ac:dyDescent="0.2"/>
  <cols>
    <col min="1" max="1" width="38.5" style="3" bestFit="1" customWidth="1"/>
    <col min="2" max="2" width="23.83203125" style="3" bestFit="1" customWidth="1"/>
    <col min="3" max="3" width="19.5" style="3" bestFit="1" customWidth="1"/>
    <col min="4" max="4" width="28.5" style="3" bestFit="1" customWidth="1"/>
    <col min="5" max="5" width="19" style="3" bestFit="1" customWidth="1"/>
    <col min="6" max="6" width="21.1640625" style="3" bestFit="1" customWidth="1"/>
    <col min="7" max="16384" width="9.1640625" style="3"/>
  </cols>
  <sheetData>
    <row r="1" spans="1:6" x14ac:dyDescent="0.2">
      <c r="A1" s="10" t="s">
        <v>15</v>
      </c>
      <c r="B1" s="6" t="s">
        <v>125</v>
      </c>
    </row>
    <row r="3" spans="1:6" x14ac:dyDescent="0.2">
      <c r="A3" s="10" t="s">
        <v>104</v>
      </c>
      <c r="B3" s="6" t="s">
        <v>126</v>
      </c>
      <c r="C3" s="6" t="s">
        <v>127</v>
      </c>
      <c r="D3" s="6" t="s">
        <v>128</v>
      </c>
      <c r="E3" s="6" t="s">
        <v>129</v>
      </c>
      <c r="F3" s="6" t="s">
        <v>105</v>
      </c>
    </row>
    <row r="4" spans="1:6" x14ac:dyDescent="0.2">
      <c r="A4" s="11" t="s">
        <v>130</v>
      </c>
      <c r="B4" s="7"/>
      <c r="C4" s="7"/>
      <c r="D4" s="7">
        <v>1.5E-3</v>
      </c>
      <c r="E4" s="16">
        <v>0.15333750000000002</v>
      </c>
      <c r="F4" s="6">
        <v>102.22500000000001</v>
      </c>
    </row>
    <row r="5" spans="1:6" x14ac:dyDescent="0.2">
      <c r="A5" s="11" t="s">
        <v>131</v>
      </c>
      <c r="B5" s="7"/>
      <c r="C5" s="7"/>
      <c r="D5" s="7">
        <v>4.0000000000000002E-4</v>
      </c>
      <c r="E5" s="16">
        <v>9.4454400000000008E-2</v>
      </c>
      <c r="F5" s="6">
        <v>236.13600000000002</v>
      </c>
    </row>
    <row r="6" spans="1:6" x14ac:dyDescent="0.2">
      <c r="A6" s="11" t="s">
        <v>118</v>
      </c>
      <c r="B6" s="7"/>
      <c r="C6" s="7"/>
      <c r="D6" s="7">
        <v>4.0000000000000002E-4</v>
      </c>
      <c r="E6" s="16"/>
      <c r="F6" s="6">
        <v>2921.9049999999997</v>
      </c>
    </row>
    <row r="7" spans="1:6" x14ac:dyDescent="0.2">
      <c r="A7" s="11" t="s">
        <v>120</v>
      </c>
      <c r="B7" s="7"/>
      <c r="C7" s="7"/>
      <c r="D7" s="7">
        <v>4.0000000000000002E-4</v>
      </c>
      <c r="E7" s="16">
        <v>1.4347200000000002</v>
      </c>
      <c r="F7" s="6">
        <v>3586.8</v>
      </c>
    </row>
    <row r="8" spans="1:6" x14ac:dyDescent="0.2">
      <c r="A8" s="11" t="s">
        <v>132</v>
      </c>
      <c r="B8" s="7"/>
      <c r="C8" s="7"/>
      <c r="D8" s="7">
        <v>7.000000000000001E-4</v>
      </c>
      <c r="E8" s="16">
        <v>0.28795200000000004</v>
      </c>
      <c r="F8" s="6">
        <v>411.36</v>
      </c>
    </row>
    <row r="9" spans="1:6" x14ac:dyDescent="0.2">
      <c r="A9" s="11" t="s">
        <v>133</v>
      </c>
      <c r="B9" s="7"/>
      <c r="C9" s="7"/>
      <c r="D9" s="7">
        <v>5.0000000000000001E-4</v>
      </c>
      <c r="E9" s="16">
        <v>0.11981749999999999</v>
      </c>
      <c r="F9" s="6">
        <v>239.63499999999999</v>
      </c>
    </row>
    <row r="10" spans="1:6" x14ac:dyDescent="0.2">
      <c r="A10" s="11" t="s">
        <v>117</v>
      </c>
      <c r="B10" s="7"/>
      <c r="C10" s="7"/>
      <c r="D10" s="7">
        <v>5.0000000000000001E-4</v>
      </c>
      <c r="E10" s="16">
        <v>0.99584070000000002</v>
      </c>
      <c r="F10" s="6">
        <v>1991.6813999999999</v>
      </c>
    </row>
    <row r="11" spans="1:6" x14ac:dyDescent="0.2">
      <c r="A11" s="11" t="s">
        <v>115</v>
      </c>
      <c r="B11" s="7"/>
      <c r="C11" s="7"/>
      <c r="D11" s="7">
        <v>8.0000000000000004E-4</v>
      </c>
      <c r="E11" s="16">
        <v>0.575928</v>
      </c>
      <c r="F11" s="6">
        <v>719.91</v>
      </c>
    </row>
    <row r="12" spans="1:6" x14ac:dyDescent="0.2">
      <c r="A12" s="11" t="s">
        <v>113</v>
      </c>
      <c r="B12" s="7"/>
      <c r="C12" s="7"/>
      <c r="D12" s="7">
        <v>1E-3</v>
      </c>
      <c r="E12" s="16">
        <v>0.53952</v>
      </c>
      <c r="F12" s="6">
        <v>539.52</v>
      </c>
    </row>
    <row r="13" spans="1:6" x14ac:dyDescent="0.2">
      <c r="A13" s="11" t="s">
        <v>106</v>
      </c>
      <c r="B13" s="7"/>
      <c r="C13" s="7"/>
      <c r="D13" s="7">
        <v>6.8888888888888895E-4</v>
      </c>
      <c r="E13" s="16">
        <v>4.2015700999999996</v>
      </c>
      <c r="F13" s="6">
        <v>10749.172399999999</v>
      </c>
    </row>
    <row r="14" spans="1:6" x14ac:dyDescent="0.2">
      <c r="A14"/>
      <c r="B14"/>
      <c r="C14"/>
      <c r="D14"/>
      <c r="E14"/>
      <c r="F14"/>
    </row>
    <row r="15" spans="1:6" x14ac:dyDescent="0.2">
      <c r="A15"/>
      <c r="B15"/>
      <c r="C15"/>
      <c r="D15"/>
      <c r="E15"/>
      <c r="F15"/>
    </row>
    <row r="16" spans="1:6" x14ac:dyDescent="0.2">
      <c r="A16"/>
      <c r="B16"/>
      <c r="C16"/>
      <c r="D16"/>
      <c r="E16"/>
      <c r="F16"/>
    </row>
    <row r="17" spans="1:6" x14ac:dyDescent="0.2">
      <c r="A17"/>
      <c r="B17"/>
      <c r="C17"/>
      <c r="D17"/>
      <c r="E17"/>
      <c r="F17"/>
    </row>
    <row r="18" spans="1:6" x14ac:dyDescent="0.2">
      <c r="A18"/>
      <c r="B18"/>
      <c r="C18"/>
      <c r="D18"/>
      <c r="E18"/>
      <c r="F18"/>
    </row>
    <row r="19" spans="1:6" x14ac:dyDescent="0.2">
      <c r="A19"/>
      <c r="B19"/>
      <c r="C19"/>
      <c r="D19"/>
      <c r="E19"/>
      <c r="F19"/>
    </row>
    <row r="20" spans="1:6" x14ac:dyDescent="0.2">
      <c r="A20"/>
      <c r="B20"/>
      <c r="C20"/>
      <c r="D20"/>
      <c r="E20"/>
    </row>
    <row r="21" spans="1:6" x14ac:dyDescent="0.2">
      <c r="A21"/>
      <c r="B21"/>
      <c r="C21"/>
      <c r="D21"/>
      <c r="E21"/>
    </row>
    <row r="22" spans="1:6" x14ac:dyDescent="0.2">
      <c r="A22"/>
      <c r="B22"/>
      <c r="C22"/>
      <c r="D22"/>
      <c r="E22"/>
    </row>
    <row r="23" spans="1:6" x14ac:dyDescent="0.2">
      <c r="A23"/>
      <c r="B23"/>
      <c r="C23"/>
      <c r="D23"/>
      <c r="E23"/>
    </row>
    <row r="24" spans="1:6" x14ac:dyDescent="0.2">
      <c r="A24"/>
      <c r="B24"/>
      <c r="C24"/>
      <c r="D24"/>
      <c r="E24"/>
    </row>
    <row r="25" spans="1:6" x14ac:dyDescent="0.2">
      <c r="A25"/>
      <c r="B25"/>
      <c r="C25"/>
      <c r="D25"/>
      <c r="E25"/>
    </row>
    <row r="26" spans="1:6" x14ac:dyDescent="0.2">
      <c r="A26"/>
      <c r="B26"/>
      <c r="C26"/>
      <c r="D26"/>
      <c r="E26"/>
    </row>
    <row r="27" spans="1:6" x14ac:dyDescent="0.2">
      <c r="A27"/>
      <c r="B27"/>
      <c r="C27"/>
      <c r="D27"/>
      <c r="E27"/>
    </row>
    <row r="28" spans="1:6" x14ac:dyDescent="0.2">
      <c r="A28"/>
      <c r="B28"/>
      <c r="C28"/>
      <c r="D28"/>
      <c r="E28"/>
    </row>
    <row r="29" spans="1:6" x14ac:dyDescent="0.2">
      <c r="A29"/>
      <c r="B29"/>
      <c r="C29"/>
      <c r="D29"/>
      <c r="E29"/>
    </row>
    <row r="30" spans="1:6" x14ac:dyDescent="0.2">
      <c r="A30"/>
      <c r="B30"/>
      <c r="C30"/>
      <c r="D30"/>
      <c r="E30"/>
    </row>
    <row r="31" spans="1:6" x14ac:dyDescent="0.2">
      <c r="A31"/>
      <c r="B31"/>
      <c r="C31"/>
      <c r="D31"/>
      <c r="E31"/>
    </row>
    <row r="32" spans="1:6" x14ac:dyDescent="0.2">
      <c r="A32"/>
      <c r="B32"/>
      <c r="C32"/>
      <c r="D32"/>
      <c r="E32"/>
    </row>
    <row r="33" spans="1:5" x14ac:dyDescent="0.2">
      <c r="A33"/>
      <c r="B33"/>
      <c r="C33"/>
      <c r="D33"/>
      <c r="E33"/>
    </row>
    <row r="34" spans="1:5" x14ac:dyDescent="0.2">
      <c r="A34"/>
      <c r="B34"/>
      <c r="C34"/>
      <c r="D34"/>
      <c r="E34"/>
    </row>
    <row r="35" spans="1:5" x14ac:dyDescent="0.2">
      <c r="A35"/>
      <c r="B35"/>
      <c r="C35"/>
      <c r="D35"/>
      <c r="E35"/>
    </row>
    <row r="36" spans="1:5" x14ac:dyDescent="0.2">
      <c r="A36"/>
      <c r="B36"/>
      <c r="C36"/>
      <c r="D36"/>
      <c r="E36"/>
    </row>
    <row r="37" spans="1:5" x14ac:dyDescent="0.2">
      <c r="A37"/>
      <c r="B37"/>
      <c r="C37"/>
      <c r="D37"/>
      <c r="E37"/>
    </row>
  </sheetData>
  <sortState xmlns:xlrd2="http://schemas.microsoft.com/office/spreadsheetml/2017/richdata2" columnSort="1" ref="A3:E37">
    <sortCondition ref="D3"/>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74D57-DAED-4B4A-9C27-FEBE6E7DAB83}">
  <dimension ref="B3"/>
  <sheetViews>
    <sheetView workbookViewId="0">
      <selection activeCell="B4" sqref="B4"/>
    </sheetView>
  </sheetViews>
  <sheetFormatPr baseColWidth="10" defaultColWidth="8.83203125" defaultRowHeight="15" x14ac:dyDescent="0.2"/>
  <sheetData>
    <row r="3" spans="2:2" x14ac:dyDescent="0.2">
      <c r="B3"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Portfolio</vt:lpstr>
      <vt:lpstr>Ventas</vt:lpstr>
      <vt:lpstr>Sheet1</vt:lpstr>
      <vt:lpstr>Country</vt:lpstr>
      <vt:lpstr>Industry</vt:lpstr>
      <vt:lpstr>CCY</vt:lpstr>
      <vt:lpstr>Broker</vt:lpstr>
      <vt:lpstr>TYPE</vt:lpstr>
      <vt:lpstr>PE-EQUITY</vt:lpstr>
      <vt:lpstr>Fees</vt:lpstr>
      <vt:lpstr>Sheet10</vt:lpstr>
      <vt:lpstr>Ventas!COP</vt:lpstr>
      <vt:lpstr>COP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Velez</dc:creator>
  <cp:keywords/>
  <dc:description/>
  <cp:lastModifiedBy>Andres Velez Saffon</cp:lastModifiedBy>
  <cp:revision/>
  <dcterms:created xsi:type="dcterms:W3CDTF">2022-10-28T22:48:40Z</dcterms:created>
  <dcterms:modified xsi:type="dcterms:W3CDTF">2023-11-08T13:51:21Z</dcterms:modified>
  <cp:category/>
  <cp:contentStatus/>
</cp:coreProperties>
</file>